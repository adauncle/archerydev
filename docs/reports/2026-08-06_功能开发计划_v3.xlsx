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595959"/>
      <sz val="10"/>
    </font>
    <font>
      <name val="Calibri"/>
      <charset val="134"/>
      <i val="1"/>
      <color rgb="FF9C57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olor rgb="00595959"/>
      <sz val="9"/>
    </font>
    <font>
      <name val="Calibri"/>
      <b val="1"/>
      <color rgb="003A2E1F"/>
      <sz val="9.5"/>
    </font>
    <font>
      <name val="Calibri"/>
      <b val="1"/>
      <color rgb="009C2A00"/>
      <sz val="9.5"/>
    </font>
    <font>
      <name val="Calibri"/>
      <color rgb="0014171E"/>
      <sz val="9.5"/>
    </font>
    <font>
      <name val="Calibri"/>
      <b val="1"/>
      <i val="1"/>
      <color rgb="00C00000"/>
      <sz val="10"/>
    </font>
    <font>
      <name val="Calibri"/>
      <b val="1"/>
      <color rgb="001F3A5F"/>
      <sz val="9.5"/>
    </font>
    <font>
      <name val="Calibri"/>
      <b val="1"/>
      <color rgb="001F5B96"/>
      <sz val="10"/>
    </font>
    <font>
      <name val="Calibri"/>
      <b val="1"/>
      <color rgb="0014171E"/>
      <sz val="10"/>
    </font>
    <font>
      <name val="Calibri"/>
      <b val="1"/>
      <color rgb="00006100"/>
      <sz val="10"/>
    </font>
    <font>
      <name val="Consolas"/>
      <color rgb="003A4256"/>
      <sz val="9"/>
    </font>
    <font>
      <name val="Calibri"/>
      <b val="1"/>
      <color rgb="009C5700"/>
      <sz val="10"/>
    </font>
    <font>
      <name val="Calibri"/>
      <b val="1"/>
      <color rgb="002F6F5E"/>
      <sz val="10"/>
    </font>
    <font>
      <name val="Calibri"/>
      <sz val="10"/>
    </font>
    <font>
      <name val="Consolas"/>
      <i val="1"/>
      <color rgb="009C5700"/>
      <sz val="9"/>
    </font>
  </fonts>
  <fills count="56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8DC"/>
      </patternFill>
    </fill>
    <fill>
      <patternFill patternType="solid">
        <fgColor rgb="00FFD580"/>
      </patternFill>
    </fill>
    <fill>
      <patternFill patternType="solid">
        <fgColor rgb="00FAF8F0"/>
      </patternFill>
    </fill>
    <fill>
      <patternFill patternType="solid">
        <fgColor rgb="00FFE5E5"/>
      </patternFill>
    </fill>
    <fill>
      <patternFill patternType="solid">
        <fgColor rgb="00E5F0FA"/>
      </patternFill>
    </fill>
    <fill>
      <patternFill patternType="solid">
        <fgColor rgb="00FFE5CC"/>
      </patternFill>
    </fill>
    <fill>
      <patternFill patternType="solid">
        <fgColor rgb="00EAF1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F0ED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F4D6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49">
    <xf numFmtId="0" fontId="22" fillId="0" borderId="0"/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2" fillId="12" borderId="2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3" applyAlignment="1">
      <alignment vertical="center"/>
    </xf>
    <xf numFmtId="0" fontId="29" fillId="0" borderId="3" applyAlignment="1">
      <alignment vertical="center"/>
    </xf>
    <xf numFmtId="0" fontId="30" fillId="0" borderId="4" applyAlignment="1">
      <alignment vertical="center"/>
    </xf>
    <xf numFmtId="0" fontId="30" fillId="0" borderId="0" applyAlignment="1">
      <alignment vertical="center"/>
    </xf>
    <xf numFmtId="0" fontId="31" fillId="13" borderId="5" applyAlignment="1">
      <alignment vertical="center"/>
    </xf>
    <xf numFmtId="0" fontId="32" fillId="14" borderId="6" applyAlignment="1">
      <alignment vertical="center"/>
    </xf>
    <xf numFmtId="0" fontId="33" fillId="14" borderId="5" applyAlignment="1">
      <alignment vertical="center"/>
    </xf>
    <xf numFmtId="0" fontId="34" fillId="15" borderId="7" applyAlignment="1">
      <alignment vertical="center"/>
    </xf>
    <xf numFmtId="0" fontId="35" fillId="0" borderId="8" applyAlignment="1">
      <alignment vertical="center"/>
    </xf>
    <xf numFmtId="0" fontId="36" fillId="0" borderId="9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9" fillId="18" borderId="0" applyAlignment="1">
      <alignment vertical="center"/>
    </xf>
    <xf numFmtId="0" fontId="40" fillId="19" borderId="0" applyAlignment="1">
      <alignment vertical="center"/>
    </xf>
    <xf numFmtId="0" fontId="41" fillId="20" borderId="0" applyAlignment="1">
      <alignment vertical="center"/>
    </xf>
    <xf numFmtId="0" fontId="41" fillId="21" borderId="0" applyAlignment="1">
      <alignment vertical="center"/>
    </xf>
    <xf numFmtId="0" fontId="40" fillId="22" borderId="0" applyAlignment="1">
      <alignment vertical="center"/>
    </xf>
    <xf numFmtId="0" fontId="40" fillId="23" borderId="0" applyAlignment="1">
      <alignment vertical="center"/>
    </xf>
    <xf numFmtId="0" fontId="41" fillId="24" borderId="0" applyAlignment="1">
      <alignment vertical="center"/>
    </xf>
    <xf numFmtId="0" fontId="41" fillId="25" borderId="0" applyAlignment="1">
      <alignment vertical="center"/>
    </xf>
    <xf numFmtId="0" fontId="40" fillId="26" borderId="0" applyAlignment="1">
      <alignment vertical="center"/>
    </xf>
    <xf numFmtId="0" fontId="40" fillId="27" borderId="0" applyAlignment="1">
      <alignment vertical="center"/>
    </xf>
    <xf numFmtId="0" fontId="41" fillId="28" borderId="0" applyAlignment="1">
      <alignment vertical="center"/>
    </xf>
    <xf numFmtId="0" fontId="41" fillId="29" borderId="0" applyAlignment="1">
      <alignment vertical="center"/>
    </xf>
    <xf numFmtId="0" fontId="40" fillId="30" borderId="0" applyAlignment="1">
      <alignment vertical="center"/>
    </xf>
    <xf numFmtId="0" fontId="40" fillId="31" borderId="0" applyAlignment="1">
      <alignment vertical="center"/>
    </xf>
    <xf numFmtId="0" fontId="41" fillId="32" borderId="0" applyAlignment="1">
      <alignment vertical="center"/>
    </xf>
    <xf numFmtId="0" fontId="41" fillId="33" borderId="0" applyAlignment="1">
      <alignment vertical="center"/>
    </xf>
    <xf numFmtId="0" fontId="40" fillId="34" borderId="0" applyAlignment="1">
      <alignment vertical="center"/>
    </xf>
    <xf numFmtId="0" fontId="40" fillId="35" borderId="0" applyAlignment="1">
      <alignment vertical="center"/>
    </xf>
    <xf numFmtId="0" fontId="41" fillId="36" borderId="0" applyAlignment="1">
      <alignment vertical="center"/>
    </xf>
    <xf numFmtId="0" fontId="41" fillId="37" borderId="0" applyAlignment="1">
      <alignment vertical="center"/>
    </xf>
    <xf numFmtId="0" fontId="40" fillId="38" borderId="0" applyAlignment="1">
      <alignment vertical="center"/>
    </xf>
    <xf numFmtId="0" fontId="40" fillId="39" borderId="0" applyAlignment="1">
      <alignment vertical="center"/>
    </xf>
    <xf numFmtId="0" fontId="41" fillId="40" borderId="0" applyAlignment="1">
      <alignment vertical="center"/>
    </xf>
    <xf numFmtId="0" fontId="41" fillId="41" borderId="0" applyAlignment="1">
      <alignment vertical="center"/>
    </xf>
    <xf numFmtId="0" fontId="40" fillId="42" borderId="0" applyAlignment="1">
      <alignment vertical="center"/>
    </xf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center" vertical="center"/>
    </xf>
    <xf numFmtId="0" fontId="42" fillId="0" borderId="10" applyAlignment="1" pivotButton="0" quotePrefix="0" xfId="0">
      <alignment vertical="center" wrapText="1"/>
    </xf>
    <xf numFmtId="0" fontId="43" fillId="43" borderId="10" applyAlignment="1" pivotButton="0" quotePrefix="0" xfId="0">
      <alignment vertical="center" wrapText="1"/>
    </xf>
    <xf numFmtId="0" fontId="44" fillId="44" borderId="10" applyAlignment="1" pivotButton="0" quotePrefix="0" xfId="0">
      <alignment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46" borderId="10" applyAlignment="1" pivotButton="0" quotePrefix="0" xfId="0">
      <alignment horizontal="center" vertical="center"/>
    </xf>
    <xf numFmtId="0" fontId="45" fillId="45" borderId="10" applyAlignment="1" pivotButton="0" quotePrefix="0" xfId="0">
      <alignment vertical="center" wrapText="1"/>
    </xf>
    <xf numFmtId="0" fontId="47" fillId="47" borderId="10" applyAlignment="1" pivotButton="0" quotePrefix="0" xfId="0">
      <alignment vertical="center" wrapText="1"/>
    </xf>
    <xf numFmtId="0" fontId="44" fillId="48" borderId="10" applyAlignment="1" pivotButton="0" quotePrefix="0" xfId="0">
      <alignment vertical="center" wrapText="1"/>
    </xf>
    <xf numFmtId="0" fontId="48" fillId="49" borderId="10" applyAlignment="1" pivotButton="0" quotePrefix="0" xfId="0">
      <alignment horizontal="center" vertical="center"/>
    </xf>
    <xf numFmtId="0" fontId="4" fillId="0" borderId="10" applyAlignment="1" pivotButton="0" quotePrefix="0" xfId="0">
      <alignment vertical="center" wrapText="1"/>
    </xf>
    <xf numFmtId="0" fontId="49" fillId="50" borderId="10" applyAlignment="1" pivotButton="0" quotePrefix="0" xfId="0">
      <alignment horizontal="center" vertical="center"/>
    </xf>
    <xf numFmtId="0" fontId="50" fillId="50" borderId="10" applyAlignment="1" pivotButton="0" quotePrefix="0" xfId="0">
      <alignment horizontal="center" vertical="center"/>
    </xf>
    <xf numFmtId="0" fontId="51" fillId="0" borderId="10" applyAlignment="1" pivotButton="0" quotePrefix="0" xfId="0">
      <alignment horizontal="center" vertical="center"/>
    </xf>
    <xf numFmtId="0" fontId="52" fillId="51" borderId="10" applyAlignment="1" pivotButton="0" quotePrefix="0" xfId="0">
      <alignment horizontal="center" vertical="center"/>
    </xf>
    <xf numFmtId="0" fontId="53" fillId="52" borderId="10" applyAlignment="1" pivotButton="0" quotePrefix="0" xfId="0">
      <alignment horizontal="center" vertical="center"/>
    </xf>
    <xf numFmtId="0" fontId="42" fillId="43" borderId="10" applyAlignment="1" pivotButton="0" quotePrefix="0" xfId="0">
      <alignment vertical="center" wrapText="1"/>
    </xf>
    <xf numFmtId="0" fontId="45" fillId="49" borderId="10" applyAlignment="1" pivotButton="0" quotePrefix="0" xfId="0">
      <alignment vertical="center" wrapText="1"/>
    </xf>
    <xf numFmtId="0" fontId="49" fillId="53" borderId="10" applyAlignment="1" pivotButton="0" quotePrefix="0" xfId="0">
      <alignment vertical="center" wrapText="1"/>
    </xf>
    <xf numFmtId="0" fontId="54" fillId="0" borderId="10" applyAlignment="1" pivotButton="0" quotePrefix="0" xfId="0">
      <alignment vertical="center" wrapText="1"/>
    </xf>
    <xf numFmtId="0" fontId="54" fillId="0" borderId="10" applyAlignment="1" pivotButton="0" quotePrefix="0" xfId="0">
      <alignment horizontal="center" vertical="center"/>
    </xf>
    <xf numFmtId="0" fontId="49" fillId="54" borderId="10" applyAlignment="1" pivotButton="0" quotePrefix="0" xfId="0">
      <alignment horizontal="center" vertical="center"/>
    </xf>
    <xf numFmtId="0" fontId="55" fillId="0" borderId="10" applyAlignment="1" pivotButton="0" quotePrefix="0" xfId="0">
      <alignment horizontal="center" vertical="center"/>
    </xf>
    <xf numFmtId="0" fontId="42" fillId="55" borderId="10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tabSelected="1" workbookViewId="0">
      <pane xSplit="2" ySplit="1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B39" sqref="B39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53" t="inlineStr">
        <is>
          <t>0.5</t>
        </is>
      </c>
      <c r="J2" s="41" t="inlineStr">
        <is>
          <t>基线版本，3 套环境脚手架</t>
        </is>
      </c>
      <c r="K2" s="50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53" t="inlineStr">
        <is>
          <t>0.5</t>
        </is>
      </c>
      <c r="J3" s="41" t="inlineStr">
        <is>
          <t>dev=9003 / prod=9123，裸机 systemd</t>
        </is>
      </c>
      <c r="K3" s="51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53" t="inlineStr">
        <is>
          <t>2</t>
        </is>
      </c>
      <c r="J4" s="41" t="inlineStr">
        <is>
          <t>systemd 化、qcluster 配置、ARCHERY_LOG_LEVEL</t>
        </is>
      </c>
      <c r="K4" s="51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53" t="inlineStr">
        <is>
          <t>0.1</t>
        </is>
      </c>
      <c r="J5" s="41" t="inlineStr">
        <is>
          <t>134=DEV / 110=PROD</t>
        </is>
      </c>
      <c r="K5" s="51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53" t="inlineStr">
        <is>
          <t>0.5</t>
        </is>
      </c>
      <c r="J6" s="41" t="inlineStr">
        <is>
          <t>5 phase 发布脚本</t>
        </is>
      </c>
      <c r="K6" s="51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3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53" t="inlineStr">
        <is>
          <t>0.5</t>
        </is>
      </c>
      <c r="J7" s="41" t="inlineStr">
        <is>
          <t>audit_driver 可扩展</t>
        </is>
      </c>
      <c r="K7" s="51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53" t="inlineStr">
        <is>
          <t>0.5</t>
        </is>
      </c>
      <c r="J8" s="41" t="inlineStr">
        <is>
          <t>SQL 类型∧核心表∧行数</t>
        </is>
      </c>
      <c r="K8" s="50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53" t="inlineStr">
        <is>
          <t>0.5</t>
        </is>
      </c>
      <c r="J9" s="41" t="inlineStr">
        <is>
          <t>select_for_update + 验签</t>
        </is>
      </c>
      <c r="K9" s="51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53" t="inlineStr">
        <is>
          <t>0.3</t>
        </is>
      </c>
      <c r="J10" s="41" t="inlineStr">
        <is>
          <t>workflow_id=4 真跑通</t>
        </is>
      </c>
      <c r="K10" s="50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4" t="inlineStr">
        <is>
          <t>中</t>
        </is>
      </c>
      <c r="H11" s="29" t="inlineStr">
        <is>
          <t>马克群</t>
        </is>
      </c>
      <c r="I11" s="53" t="inlineStr">
        <is>
          <t>1</t>
        </is>
      </c>
      <c r="J11" s="41" t="inlineStr">
        <is>
          <t>gunicorn pid 102228 + 4 workers</t>
        </is>
      </c>
      <c r="K11" s="51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53" t="inlineStr">
        <is>
          <t>0.2</t>
        </is>
      </c>
      <c r="J12" s="41" t="inlineStr">
        <is>
          <t>框架就绪、暂不启用</t>
        </is>
      </c>
      <c r="K12" s="51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5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53" t="inlineStr">
        <is>
          <t>0.2</t>
        </is>
      </c>
      <c r="J13" s="41" t="inlineStr">
        <is>
          <t>docs/designs/...html</t>
        </is>
      </c>
      <c r="K13" s="51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53" t="inlineStr">
        <is>
          <t>0.2</t>
        </is>
      </c>
      <c r="J14" s="41" t="inlineStr">
        <is>
          <t>/usr/local/bin/gh-ost</t>
        </is>
      </c>
      <c r="K14" s="50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53" t="inlineStr">
        <is>
          <t>0.5</t>
        </is>
      </c>
      <c r="J15" s="41" t="inlineStr">
        <is>
          <t>状态机 + 进度字段</t>
        </is>
      </c>
      <c r="K15" s="51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53" t="inlineStr">
        <is>
          <t>0.5</t>
        </is>
      </c>
      <c r="J16" s="41" t="inlineStr">
        <is>
          <t>只读检查</t>
        </is>
      </c>
      <c r="K16" s="51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53" t="inlineStr">
        <is>
          <t>0.5</t>
        </is>
      </c>
      <c r="J17" s="41" t="inlineStr">
        <is>
          <t>precheck/enable/start/cancel/status/progress</t>
        </is>
      </c>
      <c r="K17" s="51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53" t="inlineStr">
        <is>
          <t>0.3</t>
        </is>
      </c>
      <c r="J18" s="41" t="inlineStr">
        <is>
          <t>4 bug</t>
        </is>
      </c>
      <c r="K18" s="51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53" t="inlineStr">
        <is>
          <t>0.3</t>
        </is>
      </c>
      <c r="J19" s="41" t="inlineStr">
        <is>
          <t>Popen + nohup</t>
        </is>
      </c>
      <c r="K19" s="52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53" t="inlineStr">
        <is>
          <t>0.3</t>
        </is>
      </c>
      <c r="J20" s="41" t="inlineStr">
        <is>
          <t>1.1.10 输出兼容</t>
        </is>
      </c>
      <c r="K20" s="51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53" t="inlineStr">
        <is>
          <t>0.5</t>
        </is>
      </c>
      <c r="J21" s="41" t="inlineStr">
        <is>
          <t>3s 轮询</t>
        </is>
      </c>
      <c r="K21" s="51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53" t="inlineStr">
        <is>
          <t>0.3</t>
        </is>
      </c>
      <c r="J22" s="41" t="inlineStr">
        <is>
          <t>DBA 介入入口</t>
        </is>
      </c>
      <c r="K22" s="52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53" t="inlineStr">
        <is>
          <t>0.2</t>
        </is>
      </c>
      <c r="J23" s="41" t="inlineStr">
        <is>
          <t>best-effort</t>
        </is>
      </c>
      <c r="K23" s="52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53" t="inlineStr">
        <is>
          <t>0.3</t>
        </is>
      </c>
      <c r="J24" s="41" t="inlineStr">
        <is>
          <t>生产保护</t>
        </is>
      </c>
      <c r="K24" s="51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53" t="inlineStr">
        <is>
          <t>0.3</t>
        </is>
      </c>
      <c r="J25" s="41" t="inlineStr">
        <is>
          <t>管理命令</t>
        </is>
      </c>
      <c r="K25" s="52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53" t="inlineStr">
        <is>
          <t>0.5</t>
        </is>
      </c>
      <c r="J26" s="41" t="inlineStr">
        <is>
          <t>5 次真改</t>
        </is>
      </c>
      <c r="K26" s="52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6" t="inlineStr">
        <is>
          <t>0%</t>
        </is>
      </c>
      <c r="E27" s="34" t="inlineStr">
        <is>
          <t>待办</t>
        </is>
      </c>
      <c r="F27" s="28" t="inlineStr">
        <is>
          <t>—</t>
        </is>
      </c>
      <c r="G27" s="34" t="inlineStr">
        <is>
          <t>中</t>
        </is>
      </c>
      <c r="H27" s="29" t="inlineStr">
        <is>
          <t>马克群</t>
        </is>
      </c>
      <c r="I27" s="53" t="inlineStr">
        <is>
          <t>1</t>
        </is>
      </c>
      <c r="J27" s="42" t="inlineStr">
        <is>
          <t>等 webhook + 密文修复</t>
        </is>
      </c>
      <c r="K27" s="52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6" t="inlineStr">
        <is>
          <t>0%</t>
        </is>
      </c>
      <c r="E28" s="37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53" t="inlineStr">
        <is>
          <t>0.2</t>
        </is>
      </c>
      <c r="J28" s="42" t="inlineStr">
        <is>
          <t>5 行 diff</t>
        </is>
      </c>
      <c r="K28" s="51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38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6" t="inlineStr">
        <is>
          <t>0%</t>
        </is>
      </c>
      <c r="E29" s="34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53" t="inlineStr">
        <is>
          <t>0.2</t>
        </is>
      </c>
      <c r="J29" s="42" t="inlineStr">
        <is>
          <t>A 级回滚保险到期</t>
        </is>
      </c>
      <c r="K29" s="52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6" t="inlineStr">
        <is>
          <t>0%</t>
        </is>
      </c>
      <c r="E30" s="37" t="inlineStr">
        <is>
          <t>TBD</t>
        </is>
      </c>
      <c r="F30" s="28" t="inlineStr">
        <is>
          <t>—</t>
        </is>
      </c>
      <c r="G30" s="39" t="inlineStr">
        <is>
          <t>高</t>
        </is>
      </c>
      <c r="H30" s="29" t="inlineStr">
        <is>
          <t>马克群</t>
        </is>
      </c>
      <c r="I30" s="49" t="inlineStr">
        <is>
          <t>5+</t>
        </is>
      </c>
      <c r="J30" s="42" t="inlineStr">
        <is>
          <t>独立项目</t>
        </is>
      </c>
      <c r="K30" s="52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5" t="inlineStr">
        <is>
          <t>gh-ost 无锁 DDL</t>
        </is>
      </c>
      <c r="B31" s="25" t="inlineStr">
        <is>
          <t>v0.4.0 列压缩</t>
        </is>
      </c>
      <c r="C31" s="54" t="inlineStr">
        <is>
          <t>2026-08-06</t>
        </is>
      </c>
      <c r="D31" s="55" t="inlineStr">
        <is>
          <t>100%</t>
        </is>
      </c>
      <c r="E31" s="56" t="inlineStr">
        <is>
          <t>已发布</t>
        </is>
      </c>
      <c r="F31" s="57" t="inlineStr">
        <is>
          <t>33cfd0f</t>
        </is>
      </c>
      <c r="G31" s="58" t="inlineStr">
        <is>
          <t>中</t>
        </is>
      </c>
      <c r="H31" s="59" t="inlineStr">
        <is>
          <t>mavis</t>
        </is>
      </c>
      <c r="I31" s="53" t="inlineStr">
        <is>
          <t>0.3</t>
        </is>
      </c>
      <c r="J31" s="60" t="inlineStr">
        <is>
          <t>Excel 列压缩到 11 列；DROP COLUMN + ADD COLUMN 改写为单行 ALTER 链</t>
        </is>
      </c>
      <c r="K31" s="61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48" customHeight="1">
      <c r="A32" s="33" t="inlineStr">
        <is>
          <t>钉钉 OA 集成</t>
        </is>
      </c>
      <c r="B32" s="25" t="inlineStr">
        <is>
          <t>v0.2.1 钉钉 OA 模板（process_code）</t>
        </is>
      </c>
      <c r="C32" s="25" t="inlineStr">
        <is>
          <t>2026-08-06</t>
        </is>
      </c>
      <c r="D32" s="36" t="inlineStr">
        <is>
          <t>0%</t>
        </is>
      </c>
      <c r="E32" s="34" t="inlineStr">
        <is>
          <t>待办</t>
        </is>
      </c>
      <c r="F32" s="28" t="inlineStr">
        <is>
          <t>DRAFT</t>
        </is>
      </c>
      <c r="G32" s="34" t="inlineStr">
        <is>
          <t>中</t>
        </is>
      </c>
      <c r="H32" s="29" t="inlineStr">
        <is>
          <t>马克群</t>
        </is>
      </c>
      <c r="I32" s="53" t="inlineStr">
        <is>
          <t>0.5</t>
        </is>
      </c>
      <c r="J32" s="43" t="inlineStr">
        <is>
          <t>未开始；用户在 oa.dingtalk.com 建模板</t>
        </is>
      </c>
      <c r="K32" s="50" t="inlineStr"/>
    </row>
    <row r="33" ht="24" customHeight="1">
      <c r="A33" s="33" t="inlineStr">
        <is>
          <t>钉钉 OA 集成</t>
        </is>
      </c>
      <c r="B33" s="25" t="inlineStr">
        <is>
          <t>v0.2.2 Tunnel + 回调加密（cloudflared）</t>
        </is>
      </c>
      <c r="C33" s="25" t="inlineStr">
        <is>
          <t>2026-08-06</t>
        </is>
      </c>
      <c r="D33" s="36" t="inlineStr">
        <is>
          <t>0%</t>
        </is>
      </c>
      <c r="E33" s="34" t="inlineStr">
        <is>
          <t>待办</t>
        </is>
      </c>
      <c r="F33" s="28" t="inlineStr">
        <is>
          <t>DRAFT</t>
        </is>
      </c>
      <c r="G33" s="34" t="inlineStr">
        <is>
          <t>中</t>
        </is>
      </c>
      <c r="H33" s="29" t="inlineStr">
        <is>
          <t>马克群</t>
        </is>
      </c>
      <c r="I33" s="53" t="inlineStr">
        <is>
          <t>1</t>
        </is>
      </c>
      <c r="J33" s="43" t="inlineStr">
        <is>
          <t>前置条件：DBA 需自备域名（公网已备案），不能用 trycloudflare 临时域名；callback URL 走域名 + HTTPS</t>
        </is>
      </c>
      <c r="K33" s="50" t="inlineStr"/>
    </row>
    <row r="34" ht="24" customHeight="1">
      <c r="A34" s="33" t="inlineStr">
        <is>
          <t>钉钉 OA 集成</t>
        </is>
      </c>
      <c r="B34" s="25" t="inlineStr">
        <is>
          <t>v0.2.3 对账 cron + runbook</t>
        </is>
      </c>
      <c r="C34" s="25" t="inlineStr">
        <is>
          <t>2026-08-06</t>
        </is>
      </c>
      <c r="D34" s="36" t="inlineStr">
        <is>
          <t>0%</t>
        </is>
      </c>
      <c r="E34" s="34" t="inlineStr">
        <is>
          <t>待办</t>
        </is>
      </c>
      <c r="F34" s="28" t="inlineStr">
        <is>
          <t>DRAFT</t>
        </is>
      </c>
      <c r="G34" s="34" t="inlineStr">
        <is>
          <t>中</t>
        </is>
      </c>
      <c r="H34" s="29" t="inlineStr">
        <is>
          <t>马克群</t>
        </is>
      </c>
      <c r="I34" s="53" t="inlineStr">
        <is>
          <t>1</t>
        </is>
      </c>
      <c r="J34" s="43" t="inlineStr">
        <is>
          <t>依赖：v0.2.1 模板 + v0.2.2 tunnel 都完成后才能做（callback 不通就没法对账）</t>
        </is>
      </c>
      <c r="K34" s="50" t="inlineStr"/>
    </row>
    <row r="35" ht="56" customHeight="1">
      <c r="A35" s="62" t="inlineStr">
        <is>
          <t>gh-ost 无锁 DDL</t>
        </is>
      </c>
      <c r="B35" s="63" t="inlineStr">
        <is>
          <t>v0.4.5-alpha：model 改造（task_type + target_table + 拆 OneToOne）</t>
        </is>
      </c>
      <c r="C35" s="64" t="inlineStr">
        <is>
          <t>—</t>
        </is>
      </c>
      <c r="D35" s="65" t="inlineStr">
        <is>
          <t>0%</t>
        </is>
      </c>
      <c r="E35" s="58" t="inlineStr">
        <is>
          <t>待办</t>
        </is>
      </c>
      <c r="F35" s="66" t="inlineStr">
        <is>
          <t>DRAFT</t>
        </is>
      </c>
      <c r="G35" s="58" t="inlineStr">
        <is>
          <t>中</t>
        </is>
      </c>
      <c r="H35" s="59" t="inlineStr">
        <is>
          <t>mavis</t>
        </is>
      </c>
      <c r="I35" s="53" t="n">
        <v>0.3</v>
      </c>
      <c r="J35" s="67" t="inlineStr">
        <is>
          <t>拆 OneToOne 为 ForeignKey(null)；task_type 区分 ghost/rebuild；Meta.unique_together 约束</t>
        </is>
      </c>
      <c r="K35" s="50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36" ht="56" customHeight="1">
      <c r="A36" s="62" t="inlineStr">
        <is>
          <t>gh-ost 无锁 DDL</t>
        </is>
      </c>
      <c r="B36" s="63" t="inlineStr">
        <is>
          <t>v0.4.5-alpha：rebuild service（services/rebuild.py）</t>
        </is>
      </c>
      <c r="C36" s="64" t="inlineStr">
        <is>
          <t>—</t>
        </is>
      </c>
      <c r="D36" s="65" t="inlineStr">
        <is>
          <t>0%</t>
        </is>
      </c>
      <c r="E36" s="58" t="inlineStr">
        <is>
          <t>待办</t>
        </is>
      </c>
      <c r="F36" s="66" t="inlineStr">
        <is>
          <t>DRAFT</t>
        </is>
      </c>
      <c r="G36" s="56" t="inlineStr">
        <is>
          <t>低</t>
        </is>
      </c>
      <c r="H36" s="59" t="inlineStr">
        <is>
          <t>mavis</t>
        </is>
      </c>
      <c r="I36" s="53" t="n">
        <v>0.3</v>
      </c>
      <c r="J36" s="67" t="inlineStr">
        <is>
          <t>复用 runner.py，差别只在 --alter 改 COMMENT 空 alter 触发重建</t>
        </is>
      </c>
      <c r="K36" s="50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37" ht="56" customHeight="1">
      <c r="A37" s="62" t="inlineStr">
        <is>
          <t>gh-ost 无锁 DDL</t>
        </is>
      </c>
      <c r="B37" s="63" t="inlineStr">
        <is>
          <t>v0.4.5-alpha：视图 + 路由（rebuild/list 端点）</t>
        </is>
      </c>
      <c r="C37" s="64" t="inlineStr">
        <is>
          <t>—</t>
        </is>
      </c>
      <c r="D37" s="65" t="inlineStr">
        <is>
          <t>0%</t>
        </is>
      </c>
      <c r="E37" s="58" t="inlineStr">
        <is>
          <t>待办</t>
        </is>
      </c>
      <c r="F37" s="66" t="inlineStr">
        <is>
          <t>DRAFT</t>
        </is>
      </c>
      <c r="G37" s="58" t="inlineStr">
        <is>
          <t>中</t>
        </is>
      </c>
      <c r="H37" s="59" t="inlineStr">
        <is>
          <t>mavis</t>
        </is>
      </c>
      <c r="I37" s="53" t="n">
        <v>0.3</v>
      </c>
      <c r="J37" s="67" t="inlineStr">
        <is>
          <t>新增 POST /gh_ost/rebuild/&lt;table_id&gt;/ + GET /gh_ost/rebuild/list/</t>
        </is>
      </c>
      <c r="K37" s="50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38" ht="56" customHeight="1">
      <c r="A38" s="62" t="inlineStr">
        <is>
          <t>gh-ost 无锁 DDL</t>
        </is>
      </c>
      <c r="B38" s="63" t="inlineStr">
        <is>
          <t>v0.4.5-alpha：admin + UI（list_filter + 批量 action）</t>
        </is>
      </c>
      <c r="C38" s="64" t="inlineStr">
        <is>
          <t>—</t>
        </is>
      </c>
      <c r="D38" s="65" t="inlineStr">
        <is>
          <t>0%</t>
        </is>
      </c>
      <c r="E38" s="58" t="inlineStr">
        <is>
          <t>待办</t>
        </is>
      </c>
      <c r="F38" s="66" t="inlineStr">
        <is>
          <t>DRAFT</t>
        </is>
      </c>
      <c r="G38" s="58" t="inlineStr">
        <is>
          <t>中</t>
        </is>
      </c>
      <c r="H38" s="59" t="inlineStr">
        <is>
          <t>mavis</t>
        </is>
      </c>
      <c r="I38" s="53" t="n">
        <v>0.3</v>
      </c>
      <c r="J38" s="67" t="inlineStr">
        <is>
          <t>admin list_filter 加 task_type；admin action 加 "批量重建"；progress.html 适配 rebuild 无工单场景</t>
        </is>
      </c>
      <c r="K38" s="50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39" ht="56" customHeight="1">
      <c r="A39" s="62" t="inlineStr">
        <is>
          <t>gh-ost 无锁 DDL</t>
        </is>
      </c>
      <c r="B39" s="63" t="inlineStr">
        <is>
          <t>v0.4.5-alpha：排队 + 关联归档（services/queue.py）</t>
        </is>
      </c>
      <c r="C39" s="64" t="inlineStr">
        <is>
          <t>—</t>
        </is>
      </c>
      <c r="D39" s="65" t="inlineStr">
        <is>
          <t>0%</t>
        </is>
      </c>
      <c r="E39" s="58" t="inlineStr">
        <is>
          <t>待办</t>
        </is>
      </c>
      <c r="F39" s="66" t="inlineStr">
        <is>
          <t>DRAFT</t>
        </is>
      </c>
      <c r="G39" s="58" t="inlineStr">
        <is>
          <t>中</t>
        </is>
      </c>
      <c r="H39" s="59" t="inlineStr">
        <is>
          <t>mavis</t>
        </is>
      </c>
      <c r="I39" s="53" t="n">
        <v>0.5</v>
      </c>
      <c r="J39" s="67" t="inlineStr">
        <is>
          <t>同表冲突排队（FIFO）；归档联动 auto_link_archive opt-in 开关</t>
        </is>
      </c>
      <c r="K39" s="50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0" ht="56" customHeight="1">
      <c r="A40" s="62" t="inlineStr">
        <is>
          <t>gh-ost 无锁 DDL</t>
        </is>
      </c>
      <c r="B40" s="63" t="inlineStr">
        <is>
          <t>v0.4.5-alpha：134 dev 演练（accesscard_black_detail 造碎片 → 重建）</t>
        </is>
      </c>
      <c r="C40" s="64" t="inlineStr">
        <is>
          <t>—</t>
        </is>
      </c>
      <c r="D40" s="65" t="inlineStr">
        <is>
          <t>0%</t>
        </is>
      </c>
      <c r="E40" s="58" t="inlineStr">
        <is>
          <t>待办</t>
        </is>
      </c>
      <c r="F40" s="66" t="inlineStr">
        <is>
          <t>DRAFT</t>
        </is>
      </c>
      <c r="G40" s="58" t="inlineStr">
        <is>
          <t>中</t>
        </is>
      </c>
      <c r="H40" s="59" t="inlineStr">
        <is>
          <t>mavis</t>
        </is>
      </c>
      <c r="I40" s="53" t="n">
        <v>0.4</v>
      </c>
      <c r="J40" s="67" t="inlineStr">
        <is>
          <t>删 50% 数据造碎片 → 跑 rebuild → 前后对比 INFORMATION_SCHEMA.TABLES.DATA_FREE</t>
        </is>
      </c>
      <c r="K40" s="50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44">
        <f>IFERROR(C5/B5,0)</f>
        <v/>
      </c>
      <c r="E5" s="4">
        <f>COUNTIFS(功能开发计划!A:A,A5,功能开发计划!G:G,"高")</f>
        <v/>
      </c>
      <c r="F5" s="45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44">
        <f>IFERROR(C6/B6,0)</f>
        <v/>
      </c>
      <c r="E6" s="4">
        <f>COUNTIFS(功能开发计划!A:A,A6,功能开发计划!G:G,"高")</f>
        <v/>
      </c>
      <c r="F6" s="45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44">
        <f>IFERROR(C7/B7,0)</f>
        <v/>
      </c>
      <c r="E7" s="4">
        <f>COUNTIFS(功能开发计划!A:A,A7,功能开发计划!G:G,"高")</f>
        <v/>
      </c>
      <c r="F7" s="45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44">
        <f>IFERROR(C8/B8,0)</f>
        <v/>
      </c>
      <c r="E8" s="4">
        <f>COUNTIFS(功能开发计划!A:A,A8,功能开发计划!G:G,"高")</f>
        <v/>
      </c>
      <c r="F8" s="45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46">
        <f>IFERROR(C9/B9,0)</f>
        <v/>
      </c>
      <c r="E9" s="19">
        <f>SUM(E5:E8)</f>
        <v/>
      </c>
      <c r="F9" s="47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48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45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45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2026-08-06T07:44:37Z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