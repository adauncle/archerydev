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6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1F3A5F"/>
      <sz val="9.5"/>
    </font>
    <font>
      <name val="Calibri"/>
      <charset val="134"/>
      <b val="1"/>
      <color rgb="FF9C2A00"/>
      <sz val="9.5"/>
    </font>
    <font>
      <name val="Calibri"/>
      <charset val="134"/>
      <b val="1"/>
      <color rgb="FF3A2E1F"/>
      <sz val="9.5"/>
    </font>
    <font>
      <name val="Calibri"/>
      <charset val="134"/>
      <b val="1"/>
      <color rgb="FF595959"/>
      <sz val="10"/>
    </font>
    <font>
      <name val="Calibri"/>
      <charset val="134"/>
      <b val="1"/>
      <i val="1"/>
      <color rgb="FFC00000"/>
      <sz val="10"/>
    </font>
    <font>
      <name val="宋体"/>
      <charset val="134"/>
      <b val="1"/>
      <color rgb="FF14171E"/>
      <sz val="10"/>
    </font>
    <font>
      <name val="Consolas"/>
      <charset val="134"/>
      <i val="1"/>
      <color rgb="FF9C5700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color rgb="0014171E"/>
      <sz val="10"/>
    </font>
    <font>
      <name val="Calibri"/>
      <sz val="10"/>
    </font>
    <font>
      <name val="Calibri"/>
      <b val="1"/>
      <color rgb="009C5700"/>
      <sz val="10"/>
    </font>
    <font>
      <name val="Consolas"/>
      <i val="1"/>
      <color rgb="009C5700"/>
      <sz val="9"/>
    </font>
    <font>
      <name val="Calibri"/>
      <b val="1"/>
      <color rgb="00006100"/>
      <sz val="10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  <font>
      <name val="Consolas"/>
      <color rgb="003A4256"/>
      <sz val="9"/>
    </font>
  </fonts>
  <fills count="55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E5F0FA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BF1E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8F0ED"/>
      </patternFill>
    </fill>
    <fill>
      <patternFill patternType="solid">
        <fgColor rgb="00EAF1F8"/>
      </patternFill>
    </fill>
    <fill>
      <patternFill patternType="solid">
        <fgColor rgb="00FFF4D6"/>
      </patternFill>
    </fill>
    <fill>
      <patternFill patternType="solid">
        <fgColor rgb="00FAF8F0"/>
      </patternFill>
    </fill>
    <fill>
      <patternFill patternType="solid">
        <fgColor rgb="00F2F0EA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FBFBF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0" fillId="18" borderId="5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6" applyAlignment="1">
      <alignment vertical="center"/>
    </xf>
    <xf numFmtId="0" fontId="33" fillId="0" borderId="6" applyAlignment="1">
      <alignment vertical="center"/>
    </xf>
    <xf numFmtId="0" fontId="34" fillId="0" borderId="7" applyAlignment="1">
      <alignment vertical="center"/>
    </xf>
    <xf numFmtId="0" fontId="34" fillId="0" borderId="0" applyAlignment="1">
      <alignment vertical="center"/>
    </xf>
    <xf numFmtId="0" fontId="35" fillId="19" borderId="8" applyAlignment="1">
      <alignment vertical="center"/>
    </xf>
    <xf numFmtId="0" fontId="36" fillId="20" borderId="9" applyAlignment="1">
      <alignment vertical="center"/>
    </xf>
    <xf numFmtId="0" fontId="37" fillId="20" borderId="8" applyAlignment="1">
      <alignment vertical="center"/>
    </xf>
    <xf numFmtId="0" fontId="38" fillId="21" borderId="10" applyAlignment="1">
      <alignment vertical="center"/>
    </xf>
    <xf numFmtId="0" fontId="39" fillId="0" borderId="11" applyAlignment="1">
      <alignment vertical="center"/>
    </xf>
    <xf numFmtId="0" fontId="40" fillId="0" borderId="12" applyAlignment="1">
      <alignment vertical="center"/>
    </xf>
    <xf numFmtId="0" fontId="41" fillId="7" borderId="0" applyAlignment="1">
      <alignment vertical="center"/>
    </xf>
    <xf numFmtId="0" fontId="42" fillId="5" borderId="0" applyAlignment="1">
      <alignment vertical="center"/>
    </xf>
    <xf numFmtId="0" fontId="43" fillId="6" borderId="0" applyAlignment="1">
      <alignment vertical="center"/>
    </xf>
    <xf numFmtId="0" fontId="44" fillId="22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4" fillId="25" borderId="0" applyAlignment="1">
      <alignment vertical="center"/>
    </xf>
    <xf numFmtId="0" fontId="44" fillId="26" borderId="0" applyAlignment="1">
      <alignment vertical="center"/>
    </xf>
    <xf numFmtId="0" fontId="45" fillId="27" borderId="0" applyAlignment="1">
      <alignment vertical="center"/>
    </xf>
    <xf numFmtId="0" fontId="45" fillId="28" borderId="0" applyAlignment="1">
      <alignment vertical="center"/>
    </xf>
    <xf numFmtId="0" fontId="44" fillId="29" borderId="0" applyAlignment="1">
      <alignment vertical="center"/>
    </xf>
    <xf numFmtId="0" fontId="44" fillId="30" borderId="0" applyAlignment="1">
      <alignment vertical="center"/>
    </xf>
    <xf numFmtId="0" fontId="45" fillId="31" borderId="0" applyAlignment="1">
      <alignment vertical="center"/>
    </xf>
    <xf numFmtId="0" fontId="45" fillId="32" borderId="0" applyAlignment="1">
      <alignment vertical="center"/>
    </xf>
    <xf numFmtId="0" fontId="44" fillId="33" borderId="0" applyAlignment="1">
      <alignment vertical="center"/>
    </xf>
    <xf numFmtId="0" fontId="44" fillId="34" borderId="0" applyAlignment="1">
      <alignment vertical="center"/>
    </xf>
    <xf numFmtId="0" fontId="45" fillId="35" borderId="0" applyAlignment="1">
      <alignment vertical="center"/>
    </xf>
    <xf numFmtId="0" fontId="45" fillId="36" borderId="0" applyAlignment="1">
      <alignment vertical="center"/>
    </xf>
    <xf numFmtId="0" fontId="44" fillId="37" borderId="0" applyAlignment="1">
      <alignment vertical="center"/>
    </xf>
    <xf numFmtId="0" fontId="44" fillId="38" borderId="0" applyAlignment="1">
      <alignment vertical="center"/>
    </xf>
    <xf numFmtId="0" fontId="45" fillId="39" borderId="0" applyAlignment="1">
      <alignment vertical="center"/>
    </xf>
    <xf numFmtId="0" fontId="45" fillId="40" borderId="0" applyAlignment="1">
      <alignment vertical="center"/>
    </xf>
    <xf numFmtId="0" fontId="44" fillId="41" borderId="0" applyAlignment="1">
      <alignment vertical="center"/>
    </xf>
    <xf numFmtId="0" fontId="44" fillId="42" borderId="0" applyAlignment="1">
      <alignment vertical="center"/>
    </xf>
    <xf numFmtId="0" fontId="45" fillId="43" borderId="0" applyAlignment="1">
      <alignment vertical="center"/>
    </xf>
    <xf numFmtId="0" fontId="45" fillId="44" borderId="0" applyAlignment="1">
      <alignment vertical="center"/>
    </xf>
    <xf numFmtId="0" fontId="44" fillId="45" borderId="0" applyAlignment="1">
      <alignment vertical="center"/>
    </xf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20" fillId="11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21" fillId="12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2" fillId="13" borderId="1" applyAlignment="1" pivotButton="0" quotePrefix="0" xfId="0">
      <alignment vertical="center" wrapText="1"/>
    </xf>
    <xf numFmtId="0" fontId="23" fillId="14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8" fillId="13" borderId="1" applyAlignment="1" pivotButton="0" quotePrefix="0" xfId="0">
      <alignment vertical="center" wrapText="1"/>
    </xf>
    <xf numFmtId="0" fontId="19" fillId="4" borderId="1" applyAlignment="1" pivotButton="0" quotePrefix="0" xfId="0">
      <alignment vertical="center" wrapText="1"/>
    </xf>
    <xf numFmtId="0" fontId="15" fillId="4" borderId="2" applyAlignment="1" pivotButton="0" quotePrefix="0" xfId="0">
      <alignment horizontal="center" vertical="center" wrapText="1"/>
    </xf>
    <xf numFmtId="0" fontId="21" fillId="16" borderId="1" applyAlignment="1" pivotButton="0" quotePrefix="0" xfId="0">
      <alignment vertical="center" wrapText="1"/>
    </xf>
    <xf numFmtId="0" fontId="15" fillId="4" borderId="3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18" fillId="17" borderId="1" applyAlignment="1" pivotButton="0" quotePrefix="0" xfId="0">
      <alignment vertical="center" wrapText="1"/>
    </xf>
    <xf numFmtId="0" fontId="25" fillId="8" borderId="3" applyAlignment="1" pivotButton="0" quotePrefix="0" xfId="0">
      <alignment horizontal="center" vertical="center" wrapText="1"/>
    </xf>
    <xf numFmtId="0" fontId="25" fillId="8" borderId="4" applyAlignment="1" pivotButton="0" quotePrefix="0" xfId="0">
      <alignment horizontal="center" vertical="center" wrapText="1"/>
    </xf>
    <xf numFmtId="0" fontId="46" fillId="46" borderId="14" applyAlignment="1" pivotButton="0" quotePrefix="0" xfId="0">
      <alignment vertical="center" wrapText="1"/>
    </xf>
    <xf numFmtId="0" fontId="47" fillId="0" borderId="14" applyAlignment="1" pivotButton="0" quotePrefix="0" xfId="0">
      <alignment vertical="center" wrapText="1"/>
    </xf>
    <xf numFmtId="0" fontId="47" fillId="0" borderId="14" applyAlignment="1" pivotButton="0" quotePrefix="0" xfId="0">
      <alignment horizontal="center" vertical="center"/>
    </xf>
    <xf numFmtId="0" fontId="46" fillId="47" borderId="14" applyAlignment="1" pivotButton="0" quotePrefix="0" xfId="0">
      <alignment horizontal="center" vertical="center"/>
    </xf>
    <xf numFmtId="0" fontId="48" fillId="48" borderId="14" applyAlignment="1" pivotButton="0" quotePrefix="0" xfId="0">
      <alignment horizontal="center" vertical="center"/>
    </xf>
    <xf numFmtId="0" fontId="49" fillId="0" borderId="14" applyAlignment="1" pivotButton="0" quotePrefix="0" xfId="0">
      <alignment horizontal="center" vertical="center"/>
    </xf>
    <xf numFmtId="0" fontId="50" fillId="49" borderId="14" applyAlignment="1" pivotButton="0" quotePrefix="0" xfId="0">
      <alignment horizontal="center" vertical="center"/>
    </xf>
    <xf numFmtId="0" fontId="51" fillId="50" borderId="14" applyAlignment="1" pivotButton="0" quotePrefix="0" xfId="0">
      <alignment horizontal="center" vertical="center"/>
    </xf>
    <xf numFmtId="0" fontId="52" fillId="51" borderId="14" applyAlignment="1" pivotButton="0" quotePrefix="0" xfId="0">
      <alignment horizontal="center" vertical="center"/>
    </xf>
    <xf numFmtId="0" fontId="53" fillId="52" borderId="14" applyAlignment="1" pivotButton="0" quotePrefix="0" xfId="0">
      <alignment vertical="center" wrapText="1"/>
    </xf>
    <xf numFmtId="0" fontId="54" fillId="53" borderId="14" applyAlignment="1" pivotButton="0" quotePrefix="0" xfId="0">
      <alignment vertical="center" wrapText="1"/>
    </xf>
    <xf numFmtId="0" fontId="15" fillId="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5" fillId="8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  <xf numFmtId="0" fontId="46" fillId="51" borderId="14" applyAlignment="1" pivotButton="0" quotePrefix="0" xfId="0">
      <alignment vertical="center" wrapText="1"/>
    </xf>
    <xf numFmtId="0" fontId="46" fillId="49" borderId="14" applyAlignment="1" pivotButton="0" quotePrefix="0" xfId="0">
      <alignment horizontal="center" vertical="center"/>
    </xf>
    <xf numFmtId="0" fontId="55" fillId="0" borderId="14" applyAlignment="1" pivotButton="0" quotePrefix="0" xfId="0">
      <alignment horizontal="center" vertical="center"/>
    </xf>
    <xf numFmtId="0" fontId="53" fillId="54" borderId="14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tabSelected="1" workbookViewId="0">
      <pane xSplit="2" ySplit="1" topLeftCell="C29" activePane="bottomRight" state="frozen"/>
      <selection activeCell="A1" sqref="A1"/>
      <selection pane="topRight" activeCell="A1" sqref="A1"/>
      <selection pane="bottomLeft" activeCell="A1" sqref="A1"/>
      <selection pane="bottomRight" activeCell="A13" sqref="A13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30" t="inlineStr">
        <is>
          <t>0.5</t>
        </is>
      </c>
      <c r="J2" s="31" t="inlineStr">
        <is>
          <t>基线版本，3 套环境脚手架</t>
        </is>
      </c>
      <c r="K2" s="32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30" t="inlineStr">
        <is>
          <t>0.5</t>
        </is>
      </c>
      <c r="J3" s="31" t="inlineStr">
        <is>
          <t>dev=9003 / prod=9123，裸机 systemd</t>
        </is>
      </c>
      <c r="K3" s="33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30" t="inlineStr">
        <is>
          <t>2</t>
        </is>
      </c>
      <c r="J4" s="31" t="inlineStr">
        <is>
          <t>systemd 化、qcluster 配置、ARCHERY_LOG_LEVEL</t>
        </is>
      </c>
      <c r="K4" s="33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30" t="inlineStr">
        <is>
          <t>0.1</t>
        </is>
      </c>
      <c r="J5" s="31" t="inlineStr">
        <is>
          <t>134=DEV / 110=PROD</t>
        </is>
      </c>
      <c r="K5" s="33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30" t="inlineStr">
        <is>
          <t>0.5</t>
        </is>
      </c>
      <c r="J6" s="31" t="inlineStr">
        <is>
          <t>5 phase 发布脚本</t>
        </is>
      </c>
      <c r="K6" s="33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4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30" t="inlineStr">
        <is>
          <t>0.5</t>
        </is>
      </c>
      <c r="J7" s="31" t="inlineStr">
        <is>
          <t>audit_driver 可扩展</t>
        </is>
      </c>
      <c r="K7" s="33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30" t="inlineStr">
        <is>
          <t>0.5</t>
        </is>
      </c>
      <c r="J8" s="31" t="inlineStr">
        <is>
          <t>SQL 类型∧核心表∧行数</t>
        </is>
      </c>
      <c r="K8" s="32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30" t="inlineStr">
        <is>
          <t>0.5</t>
        </is>
      </c>
      <c r="J9" s="31" t="inlineStr">
        <is>
          <t>select_for_update + 验签</t>
        </is>
      </c>
      <c r="K9" s="33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30" t="inlineStr">
        <is>
          <t>0.3</t>
        </is>
      </c>
      <c r="J10" s="31" t="inlineStr">
        <is>
          <t>workflow_id=4 真跑通</t>
        </is>
      </c>
      <c r="K10" s="32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5" t="inlineStr">
        <is>
          <t>中</t>
        </is>
      </c>
      <c r="H11" s="29" t="inlineStr">
        <is>
          <t>马克群</t>
        </is>
      </c>
      <c r="I11" s="30" t="inlineStr">
        <is>
          <t>1</t>
        </is>
      </c>
      <c r="J11" s="31" t="inlineStr">
        <is>
          <t>gunicorn pid 102228 + 4 workers</t>
        </is>
      </c>
      <c r="K11" s="33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30" t="inlineStr">
        <is>
          <t>0.2</t>
        </is>
      </c>
      <c r="J12" s="31" t="inlineStr">
        <is>
          <t>框架就绪、暂不启用</t>
        </is>
      </c>
      <c r="K12" s="33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6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30" t="inlineStr">
        <is>
          <t>0.2</t>
        </is>
      </c>
      <c r="J13" s="31" t="inlineStr">
        <is>
          <t>docs/designs/...html</t>
        </is>
      </c>
      <c r="K13" s="33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30" t="inlineStr">
        <is>
          <t>0.2</t>
        </is>
      </c>
      <c r="J14" s="31" t="inlineStr">
        <is>
          <t>/usr/local/bin/gh-ost</t>
        </is>
      </c>
      <c r="K14" s="32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30" t="inlineStr">
        <is>
          <t>0.5</t>
        </is>
      </c>
      <c r="J15" s="31" t="inlineStr">
        <is>
          <t>状态机 + 进度字段</t>
        </is>
      </c>
      <c r="K15" s="33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30" t="inlineStr">
        <is>
          <t>0.5</t>
        </is>
      </c>
      <c r="J16" s="31" t="inlineStr">
        <is>
          <t>只读检查</t>
        </is>
      </c>
      <c r="K16" s="33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30" t="inlineStr">
        <is>
          <t>0.5</t>
        </is>
      </c>
      <c r="J17" s="31" t="inlineStr">
        <is>
          <t>precheck/enable/start/cancel/status/progress</t>
        </is>
      </c>
      <c r="K17" s="33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30" t="inlineStr">
        <is>
          <t>0.3</t>
        </is>
      </c>
      <c r="J18" s="31" t="inlineStr">
        <is>
          <t>4 bug</t>
        </is>
      </c>
      <c r="K18" s="33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30" t="inlineStr">
        <is>
          <t>0.3</t>
        </is>
      </c>
      <c r="J19" s="31" t="inlineStr">
        <is>
          <t>Popen + nohup</t>
        </is>
      </c>
      <c r="K19" s="37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30" t="inlineStr">
        <is>
          <t>0.3</t>
        </is>
      </c>
      <c r="J20" s="31" t="inlineStr">
        <is>
          <t>1.1.10 输出兼容</t>
        </is>
      </c>
      <c r="K20" s="33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30" t="inlineStr">
        <is>
          <t>0.5</t>
        </is>
      </c>
      <c r="J21" s="31" t="inlineStr">
        <is>
          <t>3s 轮询</t>
        </is>
      </c>
      <c r="K21" s="33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30" t="inlineStr">
        <is>
          <t>0.3</t>
        </is>
      </c>
      <c r="J22" s="31" t="inlineStr">
        <is>
          <t>DBA 介入入口</t>
        </is>
      </c>
      <c r="K22" s="37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30" t="inlineStr">
        <is>
          <t>0.2</t>
        </is>
      </c>
      <c r="J23" s="31" t="inlineStr">
        <is>
          <t>best-effort</t>
        </is>
      </c>
      <c r="K23" s="37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30" t="inlineStr">
        <is>
          <t>0.3</t>
        </is>
      </c>
      <c r="J24" s="31" t="inlineStr">
        <is>
          <t>生产保护</t>
        </is>
      </c>
      <c r="K24" s="33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30" t="inlineStr">
        <is>
          <t>0.3</t>
        </is>
      </c>
      <c r="J25" s="31" t="inlineStr">
        <is>
          <t>管理命令</t>
        </is>
      </c>
      <c r="K25" s="37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30" t="inlineStr">
        <is>
          <t>0.5</t>
        </is>
      </c>
      <c r="J26" s="31" t="inlineStr">
        <is>
          <t>5 次真改</t>
        </is>
      </c>
      <c r="K26" s="37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8" t="inlineStr">
        <is>
          <t>0%</t>
        </is>
      </c>
      <c r="E27" s="35" t="inlineStr">
        <is>
          <t>待办</t>
        </is>
      </c>
      <c r="F27" s="28" t="inlineStr">
        <is>
          <t>—</t>
        </is>
      </c>
      <c r="G27" s="35" t="inlineStr">
        <is>
          <t>中</t>
        </is>
      </c>
      <c r="H27" s="29" t="inlineStr">
        <is>
          <t>马克群</t>
        </is>
      </c>
      <c r="I27" s="30" t="inlineStr">
        <is>
          <t>1</t>
        </is>
      </c>
      <c r="J27" s="39" t="inlineStr">
        <is>
          <t>等 webhook + 密文修复</t>
        </is>
      </c>
      <c r="K27" s="37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8" t="inlineStr">
        <is>
          <t>0%</t>
        </is>
      </c>
      <c r="E28" s="40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30" t="inlineStr">
        <is>
          <t>0.2</t>
        </is>
      </c>
      <c r="J28" s="39" t="inlineStr">
        <is>
          <t>5 行 diff</t>
        </is>
      </c>
      <c r="K28" s="33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41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8" t="inlineStr">
        <is>
          <t>0%</t>
        </is>
      </c>
      <c r="E29" s="35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30" t="inlineStr">
        <is>
          <t>0.2</t>
        </is>
      </c>
      <c r="J29" s="39" t="inlineStr">
        <is>
          <t>A 级回滚保险到期</t>
        </is>
      </c>
      <c r="K29" s="37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8" t="inlineStr">
        <is>
          <t>0%</t>
        </is>
      </c>
      <c r="E30" s="40" t="inlineStr">
        <is>
          <t>TBD</t>
        </is>
      </c>
      <c r="F30" s="28" t="inlineStr">
        <is>
          <t>—</t>
        </is>
      </c>
      <c r="G30" s="42" t="inlineStr">
        <is>
          <t>高</t>
        </is>
      </c>
      <c r="H30" s="29" t="inlineStr">
        <is>
          <t>马克群</t>
        </is>
      </c>
      <c r="I30" s="43" t="inlineStr">
        <is>
          <t>5+</t>
        </is>
      </c>
      <c r="J30" s="39" t="inlineStr">
        <is>
          <t>独立项目</t>
        </is>
      </c>
      <c r="K30" s="37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6" t="inlineStr">
        <is>
          <t>gh-ost 无锁 DDL</t>
        </is>
      </c>
      <c r="B31" s="25" t="inlineStr">
        <is>
          <t>v0.4.0 列压缩</t>
        </is>
      </c>
      <c r="C31" s="25" t="inlineStr">
        <is>
          <t>2026-08-06</t>
        </is>
      </c>
      <c r="D31" s="26" t="inlineStr">
        <is>
          <t>100%</t>
        </is>
      </c>
      <c r="E31" s="27" t="inlineStr">
        <is>
          <t>已发布</t>
        </is>
      </c>
      <c r="F31" s="28" t="inlineStr">
        <is>
          <t>33cfd0f</t>
        </is>
      </c>
      <c r="G31" s="35" t="inlineStr">
        <is>
          <t>中</t>
        </is>
      </c>
      <c r="H31" s="44" t="inlineStr">
        <is>
          <t>mavis</t>
        </is>
      </c>
      <c r="I31" s="30" t="inlineStr">
        <is>
          <t>0.3</t>
        </is>
      </c>
      <c r="J31" s="45" t="inlineStr">
        <is>
          <t>Excel 列压缩到 11 列；DROP COLUMN + ADD COLUMN 改写为单行 ALTER 链</t>
        </is>
      </c>
      <c r="K31" s="46" t="inlineStr">
        <is>
          <t>【场景】v0.3.0 之前 DROP/ADD 拆成两条工单，134 dev 演练 1 张表要走 2 次 gh-ost。【使用】工单页面检测到 DROP+ADD 同表同提交 → 合并成 `ALTER TABLE x DROP col_a, ADD col_b` 单条 → 1 次 gh-ost 完成。</t>
        </is>
      </c>
    </row>
    <row r="32" ht="56" customHeight="1">
      <c r="A32" s="57" t="inlineStr">
        <is>
          <t>gh-ost 无锁 DDL</t>
        </is>
      </c>
      <c r="B32" s="58" t="inlineStr">
        <is>
          <t>v0.4.1-alpha：ArchiveConfig 加进度字段（last_archive_status + progress_pct）</t>
        </is>
      </c>
      <c r="C32" s="59" t="inlineStr">
        <is>
          <t>—</t>
        </is>
      </c>
      <c r="D32" s="60" t="inlineStr">
        <is>
          <t>0%</t>
        </is>
      </c>
      <c r="E32" s="61" t="inlineStr">
        <is>
          <t>待办</t>
        </is>
      </c>
      <c r="F32" s="62" t="inlineStr">
        <is>
          <t>DRAFT</t>
        </is>
      </c>
      <c r="G32" s="63" t="inlineStr">
        <is>
          <t>低</t>
        </is>
      </c>
      <c r="H32" s="64" t="inlineStr">
        <is>
          <t>mavis</t>
        </is>
      </c>
      <c r="I32" s="65" t="n">
        <v>0.3</v>
      </c>
      <c r="J32" s="66" t="inlineStr">
        <is>
          <t>admin list_display 加 last_archive_status / progress_pct 字段</t>
        </is>
      </c>
      <c r="K32" s="67" t="inlineStr">
        <is>
          <t>【场景】现有 archive_config 表只有 last_archive_time，看不到归档是否成功、跑了多少行。【使用】新增字段 last_archive_status（success/failed/running/pending）+ progress_pct + rows_archived；admin 列表直接看到状态。</t>
        </is>
      </c>
    </row>
    <row r="33" ht="56" customHeight="1">
      <c r="A33" s="57" t="inlineStr">
        <is>
          <t>gh-ost 无锁 DDL</t>
        </is>
      </c>
      <c r="B33" s="58" t="inlineStr">
        <is>
          <t>v0.4.1-alpha：归档详情页增强（archive_detail.html 进度条 + 历史日志表格）</t>
        </is>
      </c>
      <c r="C33" s="59" t="inlineStr">
        <is>
          <t>—</t>
        </is>
      </c>
      <c r="D33" s="60" t="inlineStr">
        <is>
          <t>0%</t>
        </is>
      </c>
      <c r="E33" s="61" t="inlineStr">
        <is>
          <t>待办</t>
        </is>
      </c>
      <c r="F33" s="62" t="inlineStr">
        <is>
          <t>DRAFT</t>
        </is>
      </c>
      <c r="G33" s="61" t="inlineStr">
        <is>
          <t>中</t>
        </is>
      </c>
      <c r="H33" s="64" t="inlineStr">
        <is>
          <t>mavis</t>
        </is>
      </c>
      <c r="I33" s="65" t="n">
        <v>0.4</v>
      </c>
      <c r="J33" s="66" t="inlineStr">
        <is>
          <t>templates/sqlarchive.html 改造 + ArchiveLog 表格化</t>
        </is>
      </c>
      <c r="K33" s="67" t="inlineStr">
        <is>
          <t>【场景】DBA 点进归档详情只看到基础字段，看不到每次归档跑了多少行 / 用了多久 / 失败原因。【使用】详情页加 进度条 + 历史日志表格（select_cnt/insert_cnt/delete_cnt/start_time/end_time/success/error_info）。</t>
        </is>
      </c>
    </row>
    <row r="34" ht="56" customHeight="1">
      <c r="A34" s="57" t="inlineStr">
        <is>
          <t>gh-ost 无锁 DDL</t>
        </is>
      </c>
      <c r="B34" s="58" t="inlineStr">
        <is>
          <t>v0.4.1-alpha：归档完成钉钉通知（ArchiveLog 写完后发）</t>
        </is>
      </c>
      <c r="C34" s="59" t="inlineStr">
        <is>
          <t>—</t>
        </is>
      </c>
      <c r="D34" s="60" t="inlineStr">
        <is>
          <t>0%</t>
        </is>
      </c>
      <c r="E34" s="61" t="inlineStr">
        <is>
          <t>待办</t>
        </is>
      </c>
      <c r="F34" s="62" t="inlineStr">
        <is>
          <t>DRAFT</t>
        </is>
      </c>
      <c r="G34" s="63" t="inlineStr">
        <is>
          <t>低</t>
        </is>
      </c>
      <c r="H34" s="64" t="inlineStr">
        <is>
          <t>mavis</t>
        </is>
      </c>
      <c r="I34" s="65" t="n">
        <v>0.2</v>
      </c>
      <c r="J34" s="66" t="inlineStr">
        <is>
          <t>archiver.archive() 末尾 async_task 发钉钉群</t>
        </is>
      </c>
      <c r="K34" s="67" t="inlineStr">
        <is>
          <t>【场景】归档是异步任务，DBA 不盯着页面不知道跑完没。【使用】archive() 完成后 async_task 调 notify_terminal，发钉钉群（best-effort，webhook 没配就 skip）。</t>
        </is>
      </c>
    </row>
    <row r="35" ht="56" customHeight="1">
      <c r="A35" s="57" t="inlineStr">
        <is>
          <t>gh-ost 无锁 DDL</t>
        </is>
      </c>
      <c r="B35" s="58" t="inlineStr">
        <is>
          <t>v0.4.2-alpha：ArchiveConfig 加 auto_rebuild_after_archive 字段 + 归档完成 hook</t>
        </is>
      </c>
      <c r="C35" s="59" t="inlineStr">
        <is>
          <t>—</t>
        </is>
      </c>
      <c r="D35" s="60" t="inlineStr">
        <is>
          <t>0%</t>
        </is>
      </c>
      <c r="E35" s="61" t="inlineStr">
        <is>
          <t>待办</t>
        </is>
      </c>
      <c r="F35" s="62" t="inlineStr">
        <is>
          <t>DRAFT</t>
        </is>
      </c>
      <c r="G35" s="61" t="inlineStr">
        <is>
          <t>中</t>
        </is>
      </c>
      <c r="H35" s="64" t="inlineStr">
        <is>
          <t>mavis</t>
        </is>
      </c>
      <c r="I35" s="65" t="n">
        <v>0.5</v>
      </c>
      <c r="J35" s="66" t="inlineStr">
        <is>
          <t>Boolean 字段；archive() 成功后自动触发 v0.4.5 rebuild task</t>
        </is>
      </c>
      <c r="K35" s="67" t="inlineStr">
        <is>
          <t>【场景】归档删完数据后表会有大量碎片，需要 OPTIMIZE/重建。以前是手动两步走。【使用】ArchiveConfig 加 auto_rebuild_after_archive Boolean（默认 False）；archive() 成功后检测字段 → 写 DdlGhostTask（task_type=rebuild, related_task_id=archive_id）。</t>
        </is>
      </c>
    </row>
    <row r="36" ht="56" customHeight="1">
      <c r="A36" s="57" t="inlineStr">
        <is>
          <t>gh-ost 无锁 DDL</t>
        </is>
      </c>
      <c r="B36" s="58" t="inlineStr">
        <is>
          <t>v0.4.2-beta：134 dev 演练归档→自动回收（accesscard_black_detail 造数据）</t>
        </is>
      </c>
      <c r="C36" s="59" t="inlineStr">
        <is>
          <t>—</t>
        </is>
      </c>
      <c r="D36" s="60" t="inlineStr">
        <is>
          <t>0%</t>
        </is>
      </c>
      <c r="E36" s="61" t="inlineStr">
        <is>
          <t>待办</t>
        </is>
      </c>
      <c r="F36" s="62" t="inlineStr">
        <is>
          <t>DRAFT</t>
        </is>
      </c>
      <c r="G36" s="61" t="inlineStr">
        <is>
          <t>中</t>
        </is>
      </c>
      <c r="H36" s="64" t="inlineStr">
        <is>
          <t>mavis</t>
        </is>
      </c>
      <c r="I36" s="65" t="n">
        <v>0.3</v>
      </c>
      <c r="J36" s="66" t="inlineStr">
        <is>
          <t>134 dev 演练：归档 100 万行历史数据 → 验证自动 rebuild</t>
        </is>
      </c>
      <c r="K36" s="67" t="inlineStr">
        <is>
          <t>【场景】真实业务表测归档+重建联动。【使用】DBA 在 134 dev archery_dev 库 accesscard_black_detail 灌 100 万行 → 配归档+勾 auto_rebuild → 触发归档 → 验证 rebuild 自动跑 + 碎片回收成功。</t>
        </is>
      </c>
    </row>
    <row r="37" ht="56" customHeight="1">
      <c r="A37" s="57" t="inlineStr">
        <is>
          <t>gh-ost 无锁 DDL</t>
        </is>
      </c>
      <c r="B37" s="58" t="inlineStr">
        <is>
          <t>v0.4.3-alpha：ArchiveLog 前端表格化（select/insert/delete 数量可视化）</t>
        </is>
      </c>
      <c r="C37" s="59" t="inlineStr">
        <is>
          <t>—</t>
        </is>
      </c>
      <c r="D37" s="60" t="inlineStr">
        <is>
          <t>0%</t>
        </is>
      </c>
      <c r="E37" s="61" t="inlineStr">
        <is>
          <t>待办</t>
        </is>
      </c>
      <c r="F37" s="62" t="inlineStr">
        <is>
          <t>DRAFT</t>
        </is>
      </c>
      <c r="G37" s="63" t="inlineStr">
        <is>
          <t>低</t>
        </is>
      </c>
      <c r="H37" s="64" t="inlineStr">
        <is>
          <t>mavis</t>
        </is>
      </c>
      <c r="I37" s="65" t="n">
        <v>0.3</v>
      </c>
      <c r="J37" s="66" t="inlineStr">
        <is>
          <t>archive_log.html 加可视化（条形图 / 数字徽章）</t>
        </is>
      </c>
      <c r="K37" s="67" t="inlineStr">
        <is>
          <t>【场景】归档日志表里只有 select_cnt/insert_cnt/delete_cnt 三个数字，肉眼比对累。【使用】前端加条形图 + 颜色徽章（成功=绿/失败=红），DBA 一眼看成功率和数据量趋势。</t>
        </is>
      </c>
    </row>
    <row r="38" ht="56" customHeight="1">
      <c r="A38" s="57" t="inlineStr">
        <is>
          <t>gh-ost 无锁 DDL</t>
        </is>
      </c>
      <c r="B38" s="58" t="inlineStr">
        <is>
          <t>v0.4.3-alpha：归档成功率统计 dashboard（周/月）</t>
        </is>
      </c>
      <c r="C38" s="59" t="inlineStr">
        <is>
          <t>—</t>
        </is>
      </c>
      <c r="D38" s="60" t="inlineStr">
        <is>
          <t>0%</t>
        </is>
      </c>
      <c r="E38" s="61" t="inlineStr">
        <is>
          <t>待办</t>
        </is>
      </c>
      <c r="F38" s="62" t="inlineStr">
        <is>
          <t>DRAFT</t>
        </is>
      </c>
      <c r="G38" s="63" t="inlineStr">
        <is>
          <t>低</t>
        </is>
      </c>
      <c r="H38" s="64" t="inlineStr">
        <is>
          <t>mavis</t>
        </is>
      </c>
      <c r="I38" s="65" t="n">
        <v>0.3</v>
      </c>
      <c r="J38" s="66" t="inlineStr">
        <is>
          <t>dashboard 模块加 archive 统计卡片</t>
        </is>
      </c>
      <c r="K38" s="67" t="inlineStr">
        <is>
          <t>【场景】DBA 主管要看全局归档健康度。【使用】dashboard 加卡片：本周归档次数 / 成功率 / 总归档行数 / 失败 Top 5。SQL 用 SUM/COUNT GROUP BY week，django 模板渲染。</t>
        </is>
      </c>
    </row>
    <row r="39" ht="56" customHeight="1">
      <c r="A39" s="77" t="inlineStr">
        <is>
          <t>钉钉 OA 集成</t>
        </is>
      </c>
      <c r="B39" s="25" t="inlineStr">
        <is>
          <t>v0.2.1 钉钉 OA 模板（process_code）</t>
        </is>
      </c>
      <c r="C39" s="25" t="inlineStr">
        <is>
          <t>2026-08-06</t>
        </is>
      </c>
      <c r="D39" s="38" t="inlineStr">
        <is>
          <t>0%</t>
        </is>
      </c>
      <c r="E39" s="35" t="inlineStr">
        <is>
          <t>待办</t>
        </is>
      </c>
      <c r="F39" s="28" t="inlineStr">
        <is>
          <t>DRAFT</t>
        </is>
      </c>
      <c r="G39" s="35" t="inlineStr">
        <is>
          <t>中</t>
        </is>
      </c>
      <c r="H39" s="29" t="inlineStr">
        <is>
          <t>马克群</t>
        </is>
      </c>
      <c r="I39" s="30" t="inlineStr">
        <is>
          <t>0.5</t>
        </is>
      </c>
      <c r="J39" s="48" t="inlineStr">
        <is>
          <t>未开始；用户在 oa.dingtalk.com 建模板</t>
        </is>
      </c>
      <c r="K39" s="32" t="inlineStr"/>
    </row>
    <row r="40" ht="56" customHeight="1">
      <c r="A40" s="77" t="inlineStr">
        <is>
          <t>钉钉 OA 集成</t>
        </is>
      </c>
      <c r="B40" s="25" t="inlineStr">
        <is>
          <t>v0.2.2 Tunnel + 回调加密（cloudflared）</t>
        </is>
      </c>
      <c r="C40" s="25" t="inlineStr">
        <is>
          <t>2026-08-06</t>
        </is>
      </c>
      <c r="D40" s="38" t="inlineStr">
        <is>
          <t>0%</t>
        </is>
      </c>
      <c r="E40" s="35" t="inlineStr">
        <is>
          <t>待办</t>
        </is>
      </c>
      <c r="F40" s="28" t="inlineStr">
        <is>
          <t>DRAFT</t>
        </is>
      </c>
      <c r="G40" s="35" t="inlineStr">
        <is>
          <t>中</t>
        </is>
      </c>
      <c r="H40" s="29" t="inlineStr">
        <is>
          <t>马克群</t>
        </is>
      </c>
      <c r="I40" s="30" t="inlineStr">
        <is>
          <t>1</t>
        </is>
      </c>
      <c r="J40" s="48" t="inlineStr">
        <is>
          <t>前置条件：DBA 需自备域名（公网已备案），不能用 trycloudflare 临时域名；callback URL 走域名 + HTTPS</t>
        </is>
      </c>
      <c r="K40" s="32" t="inlineStr"/>
    </row>
    <row r="41">
      <c r="A41" s="77" t="inlineStr">
        <is>
          <t>钉钉 OA 集成</t>
        </is>
      </c>
      <c r="B41" s="25" t="inlineStr">
        <is>
          <t>v0.2.3 对账 cron + runbook</t>
        </is>
      </c>
      <c r="C41" s="25" t="inlineStr">
        <is>
          <t>2026-08-06</t>
        </is>
      </c>
      <c r="D41" s="38" t="inlineStr">
        <is>
          <t>0%</t>
        </is>
      </c>
      <c r="E41" s="35" t="inlineStr">
        <is>
          <t>待办</t>
        </is>
      </c>
      <c r="F41" s="28" t="inlineStr">
        <is>
          <t>DRAFT</t>
        </is>
      </c>
      <c r="G41" s="35" t="inlineStr">
        <is>
          <t>中</t>
        </is>
      </c>
      <c r="H41" s="29" t="inlineStr">
        <is>
          <t>马克群</t>
        </is>
      </c>
      <c r="I41" s="30" t="inlineStr">
        <is>
          <t>1</t>
        </is>
      </c>
      <c r="J41" s="48" t="inlineStr">
        <is>
          <t>依赖：v0.2.1 模板 + v0.2.2 tunnel 都完成后才能做（callback 不通就没法对账）</t>
        </is>
      </c>
      <c r="K41" s="32" t="inlineStr"/>
    </row>
    <row r="42">
      <c r="A42" s="57" t="inlineStr">
        <is>
          <t>gh-ost 无锁 DDL</t>
        </is>
      </c>
      <c r="B42" s="25" t="inlineStr">
        <is>
          <t>v0.4.5-alpha：model 改造（task_type + target_table + 拆 OneToOne）</t>
        </is>
      </c>
      <c r="C42" s="59" t="inlineStr">
        <is>
          <t>2026-08-06</t>
        </is>
      </c>
      <c r="D42" s="78" t="inlineStr">
        <is>
          <t>100%</t>
        </is>
      </c>
      <c r="E42" s="63" t="inlineStr">
        <is>
          <t>已发布</t>
        </is>
      </c>
      <c r="F42" s="79" t="inlineStr">
        <is>
          <t>6412da4</t>
        </is>
      </c>
      <c r="G42" s="35" t="inlineStr">
        <is>
          <t>中</t>
        </is>
      </c>
      <c r="H42" s="29" t="inlineStr">
        <is>
          <t>马克群</t>
        </is>
      </c>
      <c r="I42" s="30" t="n">
        <v>0.3</v>
      </c>
      <c r="J42" s="80" t="inlineStr">
        <is>
          <t>alpha 6 件第 1 件；134 dev makemigrations --check 0 missing + migrate --check 0 阻塞</t>
        </is>
      </c>
      <c r="K42" s="32" t="inlineStr">
        <is>
          <t>【场景】ghost 是工单级（OneToOne SqlWorkflow），rebuild 是表级（DBA 手动选表）。【使用】新增字段 `task_type`/`target_table`/`related_task_id`；rebuild 时 workflow=NULL，target_table 存 `db.table`。</t>
        </is>
      </c>
    </row>
    <row r="43">
      <c r="A43" s="57" t="inlineStr">
        <is>
          <t>gh-ost 无锁 DDL</t>
        </is>
      </c>
      <c r="B43" s="25" t="inlineStr">
        <is>
          <t>v0.4.5-alpha：rebuild service（services/rebuild.py）</t>
        </is>
      </c>
      <c r="C43" s="52" t="inlineStr">
        <is>
          <t>—</t>
        </is>
      </c>
      <c r="D43" s="38" t="inlineStr">
        <is>
          <t>0%</t>
        </is>
      </c>
      <c r="E43" s="35" t="inlineStr">
        <is>
          <t>待办</t>
        </is>
      </c>
      <c r="F43" s="53" t="inlineStr">
        <is>
          <t>DRAFT</t>
        </is>
      </c>
      <c r="G43" s="27" t="inlineStr">
        <is>
          <t>低</t>
        </is>
      </c>
      <c r="H43" s="29" t="inlineStr">
        <is>
          <t>马克群</t>
        </is>
      </c>
      <c r="I43" s="30" t="n">
        <v>0.3</v>
      </c>
      <c r="J43" s="54" t="inlineStr">
        <is>
          <t>复用 runner.py，差别只在 --alter 改 COMMENT 空 alter 触发重建</t>
        </is>
      </c>
      <c r="K43" s="32" t="inlineStr">
        <is>
          <t>【场景】大表碎片率高，OPTIMIZE TABLE 锁表；pt-osc 装新环境成本高。【使用】gh-ost 跑 `ALTER TABLE x COMMENT 'archery-auto-rebuild-YYYYMMDD'`，结构不变触发表重建，几秒锁表完成。</t>
        </is>
      </c>
    </row>
    <row r="44">
      <c r="A44" s="57" t="inlineStr">
        <is>
          <t>gh-ost 无锁 DDL</t>
        </is>
      </c>
      <c r="B44" s="25" t="inlineStr">
        <is>
          <t>v0.4.5-alpha：视图 + 路由（rebuild/list 端点）</t>
        </is>
      </c>
      <c r="C44" s="52" t="inlineStr">
        <is>
          <t>—</t>
        </is>
      </c>
      <c r="D44" s="38" t="inlineStr">
        <is>
          <t>0%</t>
        </is>
      </c>
      <c r="E44" s="35" t="inlineStr">
        <is>
          <t>待办</t>
        </is>
      </c>
      <c r="F44" s="53" t="inlineStr">
        <is>
          <t>DRAFT</t>
        </is>
      </c>
      <c r="G44" s="35" t="inlineStr">
        <is>
          <t>中</t>
        </is>
      </c>
      <c r="H44" s="29" t="inlineStr">
        <is>
          <t>马克群</t>
        </is>
      </c>
      <c r="I44" s="30" t="n">
        <v>0.3</v>
      </c>
      <c r="J44" s="54" t="inlineStr">
        <is>
          <t>新增 POST /gh_ost/rebuild/&lt;table_id&gt;/ + GET /gh_ost/rebuild/list/</t>
        </is>
      </c>
      <c r="K44" s="32" t="inlineStr">
        <is>
          <t>【场景】DBA 选 instance + 表 → 一键触发 rebuild。【使用】DBA 在 admin 表列表点 "重建" → 写 task（task_type=rebuild, workflow=NULL）→ 启动 gh-ost → 进度面板 polling 3s。</t>
        </is>
      </c>
    </row>
    <row r="45">
      <c r="A45" s="57" t="inlineStr">
        <is>
          <t>gh-ost 无锁 DDL</t>
        </is>
      </c>
      <c r="B45" s="25" t="inlineStr">
        <is>
          <t>v0.4.5-alpha：admin + UI（list_filter + 批量 action）</t>
        </is>
      </c>
      <c r="C45" s="52" t="inlineStr">
        <is>
          <t>—</t>
        </is>
      </c>
      <c r="D45" s="38" t="inlineStr">
        <is>
          <t>0%</t>
        </is>
      </c>
      <c r="E45" s="35" t="inlineStr">
        <is>
          <t>待办</t>
        </is>
      </c>
      <c r="F45" s="53" t="inlineStr">
        <is>
          <t>DRAFT</t>
        </is>
      </c>
      <c r="G45" s="35" t="inlineStr">
        <is>
          <t>中</t>
        </is>
      </c>
      <c r="H45" s="29" t="inlineStr">
        <is>
          <t>马克群</t>
        </is>
      </c>
      <c r="I45" s="30" t="n">
        <v>0.3</v>
      </c>
      <c r="J45" s="54" t="inlineStr">
        <is>
          <t>admin list_filter 加 task_type；admin action 加 "批量重建"；progress.html 适配 rebuild 无工单场景</t>
        </is>
      </c>
      <c r="K45" s="32" t="inlineStr">
        <is>
          <t>【场景】DBA 看到一堆要重建的表，挨个点太慢。【使用】admin 勾选 N 张表 → action 选 "批量重建" → 一次触发 N 个 rebuild task（按表排队，同表只跑 1 个）。</t>
        </is>
      </c>
    </row>
    <row r="46">
      <c r="A46" s="57" t="inlineStr">
        <is>
          <t>gh-ost 无锁 DDL</t>
        </is>
      </c>
      <c r="B46" s="25" t="inlineStr">
        <is>
          <t>v0.4.5-alpha：排队 + 关联归档（services/queue.py）</t>
        </is>
      </c>
      <c r="C46" s="52" t="inlineStr">
        <is>
          <t>—</t>
        </is>
      </c>
      <c r="D46" s="38" t="inlineStr">
        <is>
          <t>0%</t>
        </is>
      </c>
      <c r="E46" s="35" t="inlineStr">
        <is>
          <t>待办</t>
        </is>
      </c>
      <c r="F46" s="53" t="inlineStr">
        <is>
          <t>DRAFT</t>
        </is>
      </c>
      <c r="G46" s="35" t="inlineStr">
        <is>
          <t>中</t>
        </is>
      </c>
      <c r="H46" s="29" t="inlineStr">
        <is>
          <t>马克群</t>
        </is>
      </c>
      <c r="I46" s="30" t="n">
        <v>0.5</v>
      </c>
      <c r="J46" s="54" t="inlineStr">
        <is>
          <t>同表冲突排队（FIFO）；归档联动 auto_link_archive opt-in 开关</t>
        </is>
      </c>
      <c r="K46" s="32" t="inlineStr">
        <is>
          <t>【场景】DBA 同时点 "归档 + 回收"，同表 2 个 task 撞车。【使用】rebuild 检测到同表有归档 task running → 排队等前面完成 → 归档完自动启动 rebuild。归档联动默认关，要开显式勾 "归档完自动回收"。</t>
        </is>
      </c>
    </row>
    <row r="47">
      <c r="A47" s="57" t="inlineStr">
        <is>
          <t>gh-ost 无锁 DDL</t>
        </is>
      </c>
      <c r="B47" s="25" t="inlineStr">
        <is>
          <t>v0.4.5-alpha：134 dev 演练（accesscard_black_detail 造碎片 → 重建）</t>
        </is>
      </c>
      <c r="C47" s="52" t="inlineStr">
        <is>
          <t>—</t>
        </is>
      </c>
      <c r="D47" s="38" t="inlineStr">
        <is>
          <t>0%</t>
        </is>
      </c>
      <c r="E47" s="35" t="inlineStr">
        <is>
          <t>待办</t>
        </is>
      </c>
      <c r="F47" s="53" t="inlineStr">
        <is>
          <t>DRAFT</t>
        </is>
      </c>
      <c r="G47" s="35" t="inlineStr">
        <is>
          <t>中</t>
        </is>
      </c>
      <c r="H47" s="29" t="inlineStr">
        <is>
          <t>马克群</t>
        </is>
      </c>
      <c r="I47" s="30" t="n">
        <v>0.4</v>
      </c>
      <c r="J47" s="54" t="inlineStr">
        <is>
          <t>删 50% 数据造碎片 → 跑 rebuild → 前后对比 INFORMATION_SCHEMA.TABLES.DATA_FREE</t>
        </is>
      </c>
      <c r="K47" s="32" t="inlineStr">
        <is>
          <t>【场景】真实业务表测碎片回收效果。【使用】DBA 在 134 dev dev 库演练大表 accesscard_black_detail 上删一半行 → 点重建 → 观察 gh-ost 进度 → 验证 DATA_FREE 下降。重复 1 表 N 次验证限频 1 次/天/表。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72">
        <f>IFERROR(C5/B5,0)</f>
        <v/>
      </c>
      <c r="E5" s="4">
        <f>COUNTIFS(功能开发计划!A:A,A5,功能开发计划!G:G,"高")</f>
        <v/>
      </c>
      <c r="F5" s="73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72">
        <f>IFERROR(C6/B6,0)</f>
        <v/>
      </c>
      <c r="E6" s="4">
        <f>COUNTIFS(功能开发计划!A:A,A6,功能开发计划!G:G,"高")</f>
        <v/>
      </c>
      <c r="F6" s="73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72">
        <f>IFERROR(C7/B7,0)</f>
        <v/>
      </c>
      <c r="E7" s="4">
        <f>COUNTIFS(功能开发计划!A:A,A7,功能开发计划!G:G,"高")</f>
        <v/>
      </c>
      <c r="F7" s="73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72">
        <f>IFERROR(C8/B8,0)</f>
        <v/>
      </c>
      <c r="E8" s="4">
        <f>COUNTIFS(功能开发计划!A:A,A8,功能开发计划!G:G,"高")</f>
        <v/>
      </c>
      <c r="F8" s="73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74">
        <f>IFERROR(C9/B9,0)</f>
        <v/>
      </c>
      <c r="E9" s="19">
        <f>SUM(E5:E8)</f>
        <v/>
      </c>
      <c r="F9" s="75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76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73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73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2026-08-06T09:28:31Z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