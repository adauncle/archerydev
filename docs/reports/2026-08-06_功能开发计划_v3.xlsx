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开发计划" sheetId="1" state="visible" r:id="rId1"/>
    <sheet xmlns:r="http://schemas.openxmlformats.org/officeDocument/2006/relationships" name="汇总统计" sheetId="2" state="visible" r:id="rId2"/>
    <sheet xmlns:r="http://schemas.openxmlformats.org/officeDocument/2006/relationships" name="按风险等级" sheetId="3" state="visible" r:id="rId3"/>
    <sheet xmlns:r="http://schemas.openxmlformats.org/officeDocument/2006/relationships" name="按负责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4171E"/>
      <sz val="10"/>
    </font>
    <font>
      <name val="Calibri"/>
      <b val="1"/>
      <color rgb="00006100"/>
      <sz val="10"/>
    </font>
    <font>
      <name val="Consolas"/>
      <color rgb="003A4256"/>
      <sz val="9"/>
    </font>
    <font>
      <name val="Calibri"/>
      <b val="1"/>
      <color rgb="002F6F5E"/>
      <sz val="10"/>
    </font>
    <font>
      <name val="Calibri"/>
      <b val="1"/>
      <color rgb="001F5B96"/>
      <sz val="10"/>
    </font>
    <font>
      <name val="Calibri"/>
      <color rgb="00595959"/>
      <sz val="9"/>
    </font>
    <font>
      <name val="Calibri"/>
      <color rgb="0014171E"/>
      <sz val="9.5"/>
    </font>
    <font>
      <name val="Calibri"/>
      <b val="1"/>
      <color rgb="009C5700"/>
      <sz val="10"/>
    </font>
    <font>
      <name val="Calibri"/>
      <i val="1"/>
      <color rgb="009C5700"/>
      <sz val="10"/>
    </font>
    <font>
      <name val="Calibri"/>
      <b val="1"/>
      <color rgb="00595959"/>
      <sz val="10"/>
    </font>
    <font>
      <name val="Calibri"/>
      <b val="1"/>
      <color rgb="009C0006"/>
      <sz val="10"/>
    </font>
    <font>
      <name val="Calibri"/>
      <b val="1"/>
      <i val="1"/>
      <color rgb="009C5700"/>
      <sz val="10"/>
    </font>
    <font>
      <name val="Calibri"/>
      <b val="1"/>
      <color rgb="0014171E"/>
      <sz val="14"/>
    </font>
    <font>
      <name val="Calibri"/>
      <b val="1"/>
      <color rgb="002F6F5E"/>
      <sz val="12"/>
    </font>
    <font>
      <name val="Calibri"/>
      <b val="1"/>
      <sz val="10"/>
    </font>
    <font>
      <name val="Calibri"/>
      <b val="1"/>
      <sz val="11"/>
    </font>
    <font>
      <name val="Calibri"/>
      <b val="1"/>
      <color rgb="002F6F5E"/>
      <sz val="16"/>
    </font>
    <font>
      <name val="Calibri"/>
      <b val="1"/>
      <color rgb="001F5B96"/>
      <sz val="16"/>
    </font>
    <font>
      <name val="Calibri"/>
      <color rgb="003A4256"/>
      <sz val="9"/>
    </font>
  </fonts>
  <fills count="12">
    <fill>
      <patternFill/>
    </fill>
    <fill>
      <patternFill patternType="gray125"/>
    </fill>
    <fill>
      <patternFill patternType="solid">
        <fgColor rgb="002F6F5E"/>
      </patternFill>
    </fill>
    <fill>
      <patternFill patternType="solid">
        <fgColor rgb="00E8F0ED"/>
      </patternFill>
    </fill>
    <fill>
      <patternFill patternType="solid">
        <fgColor rgb="00C6EFCE"/>
      </patternFill>
    </fill>
    <fill>
      <patternFill patternType="solid">
        <fgColor rgb="00EAF1F8"/>
      </patternFill>
    </fill>
    <fill>
      <patternFill patternType="solid">
        <fgColor rgb="00FAF8F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0EA"/>
      </patternFill>
    </fill>
    <fill>
      <patternFill patternType="solid">
        <fgColor rgb="00FBF1E4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10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vertical="center" wrapText="1"/>
    </xf>
    <xf numFmtId="0" fontId="12" fillId="11" borderId="1" applyAlignment="1" pivotButton="0" quotePrefix="0" xfId="0">
      <alignment horizontal="center" vertical="center"/>
    </xf>
    <xf numFmtId="0" fontId="3" fillId="9" borderId="1" applyAlignment="1" pivotButton="0" quotePrefix="0" xfId="0">
      <alignment vertical="center" wrapText="1"/>
    </xf>
    <xf numFmtId="0" fontId="13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3" borderId="0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17" fillId="5" borderId="0" pivotButton="0" quotePrefix="0" xfId="0"/>
    <xf numFmtId="0" fontId="17" fillId="10" borderId="0" pivotButton="0" quotePrefix="0" xfId="0"/>
    <xf numFmtId="0" fontId="17" fillId="9" borderId="0" pivotButton="0" quotePrefix="0" xfId="0"/>
    <xf numFmtId="0" fontId="18" fillId="0" borderId="0" pivotButton="0" quotePrefix="0" xfId="0"/>
    <xf numFmtId="0" fontId="18" fillId="3" borderId="1" applyAlignment="1" pivotButton="0" quotePrefix="0" xfId="0">
      <alignment horizontal="center"/>
    </xf>
    <xf numFmtId="164" fontId="18" fillId="3" borderId="1" applyAlignment="1" pivotButton="0" quotePrefix="0" xfId="0">
      <alignment horizontal="center"/>
    </xf>
    <xf numFmtId="165" fontId="18" fillId="3" borderId="1" applyAlignment="1" pivotButton="0" quotePrefix="0" xfId="0">
      <alignment horizontal="center"/>
    </xf>
    <xf numFmtId="0" fontId="19" fillId="4" borderId="0" applyAlignment="1" pivotButton="0" quotePrefix="0" xfId="0">
      <alignment horizontal="center" vertical="center"/>
    </xf>
    <xf numFmtId="165" fontId="20" fillId="5" borderId="0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/>
    </xf>
    <xf numFmtId="0" fontId="21" fillId="0" borderId="1" applyAlignment="1" pivotButton="0" quotePrefix="0" xfId="0">
      <alignment vertical="top" wrapText="1"/>
    </xf>
    <xf numFmtId="0" fontId="10" fillId="7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14" customWidth="1" min="3" max="3"/>
    <col width="8" customWidth="1" min="4" max="4"/>
    <col width="8" customWidth="1" min="5" max="5"/>
    <col width="12" customWidth="1" min="6" max="6"/>
    <col width="9" customWidth="1" min="7" max="7"/>
    <col width="12" customWidth="1" min="8" max="8"/>
    <col width="8" customWidth="1" min="9" max="9"/>
    <col width="22" customWidth="1" min="10" max="10"/>
    <col width="52" customWidth="1" min="11" max="11"/>
  </cols>
  <sheetData>
    <row r="1" ht="32" customHeight="1">
      <c r="A1" s="1" t="inlineStr">
        <is>
          <t>主功能</t>
        </is>
      </c>
      <c r="B1" s="1" t="inlineStr">
        <is>
          <t>子项目</t>
        </is>
      </c>
      <c r="C1" s="1" t="inlineStr">
        <is>
          <t>完成时间</t>
        </is>
      </c>
      <c r="D1" s="1" t="inlineStr">
        <is>
          <t>完成
进度</t>
        </is>
      </c>
      <c r="E1" s="1" t="inlineStr">
        <is>
          <t>状态</t>
        </is>
      </c>
      <c r="F1" s="1" t="inlineStr">
        <is>
          <t>关键
commit</t>
        </is>
      </c>
      <c r="G1" s="1" t="inlineStr">
        <is>
          <t>风险
等级</t>
        </is>
      </c>
      <c r="H1" s="1" t="inlineStr">
        <is>
          <t>负责人</t>
        </is>
      </c>
      <c r="I1" s="1" t="inlineStr">
        <is>
          <t>投入
人天</t>
        </is>
      </c>
      <c r="J1" s="1" t="inlineStr">
        <is>
          <t>备注</t>
        </is>
      </c>
      <c r="K1" s="1" t="inlineStr">
        <is>
          <t>功能说明（场景 / 怎么用）</t>
        </is>
      </c>
    </row>
    <row r="2" ht="48" customHeight="1">
      <c r="A2" s="2" t="inlineStr">
        <is>
          <t>平台基础</t>
        </is>
      </c>
      <c r="B2" s="3" t="inlineStr">
        <is>
          <t>上游 v1.14.0 合并 + 7 个 MR patch</t>
        </is>
      </c>
      <c r="C2" s="3" t="inlineStr">
        <is>
          <t>2026-07-21</t>
        </is>
      </c>
      <c r="D2" s="4" t="inlineStr">
        <is>
          <t>100%</t>
        </is>
      </c>
      <c r="E2" s="5" t="inlineStr">
        <is>
          <t>已发布</t>
        </is>
      </c>
      <c r="F2" s="6" t="inlineStr">
        <is>
          <t>2ddd91a</t>
        </is>
      </c>
      <c r="G2" s="5" t="inlineStr">
        <is>
          <t>低</t>
        </is>
      </c>
      <c r="H2" s="7" t="inlineStr">
        <is>
          <t>mavis</t>
        </is>
      </c>
      <c r="I2" s="8" t="inlineStr">
        <is>
          <t>0.5</t>
        </is>
      </c>
      <c r="J2" s="9" t="inlineStr">
        <is>
          <t>基线版本，3 套环境脚手架</t>
        </is>
      </c>
      <c r="K2" s="10" t="inlineStr">
        <is>
          <t>【场景】公司 DBA 团队需要 SQL 审核 + 工单流平台；【使用】部署后默认进入 Archery 主界面，业务开发走标准 SQL 上线流程。</t>
        </is>
      </c>
    </row>
    <row r="3" ht="48" customHeight="1">
      <c r="A3" s="3" t="inlineStr"/>
      <c r="B3" s="3" t="inlineStr">
        <is>
          <t>134 dev / 110 prod / staging 初始化</t>
        </is>
      </c>
      <c r="C3" s="3" t="inlineStr">
        <is>
          <t>2026-07-21</t>
        </is>
      </c>
      <c r="D3" s="4" t="inlineStr">
        <is>
          <t>100%</t>
        </is>
      </c>
      <c r="E3" s="5" t="inlineStr">
        <is>
          <t>已发布</t>
        </is>
      </c>
      <c r="F3" s="6" t="inlineStr">
        <is>
          <t>—</t>
        </is>
      </c>
      <c r="G3" s="5" t="inlineStr">
        <is>
          <t>低</t>
        </is>
      </c>
      <c r="H3" s="7" t="inlineStr">
        <is>
          <t>mavis</t>
        </is>
      </c>
      <c r="I3" s="8" t="inlineStr">
        <is>
          <t>0.5</t>
        </is>
      </c>
      <c r="J3" s="9" t="inlineStr">
        <is>
          <t>dev=9003 / prod=9123，裸机 systemd</t>
        </is>
      </c>
      <c r="K3" s="10" t="inlineStr">
        <is>
          <t>【场景】3 套环境隔离，代码不直接动生产；【使用】每套独立 .env + systemd unit，promote_110.sh 跨环境发布。</t>
        </is>
      </c>
    </row>
    <row r="4" ht="48" customHeight="1">
      <c r="A4" s="3" t="inlineStr"/>
      <c r="B4" s="3" t="inlineStr">
        <is>
          <t>dev 部署迭代 v0.1.1 ~ v0.1.9</t>
        </is>
      </c>
      <c r="C4" s="3" t="inlineStr">
        <is>
          <t>2026-07-22 ~ 07-30</t>
        </is>
      </c>
      <c r="D4" s="4" t="inlineStr">
        <is>
          <t>100%</t>
        </is>
      </c>
      <c r="E4" s="5" t="inlineStr">
        <is>
          <t>已发布</t>
        </is>
      </c>
      <c r="F4" s="6" t="inlineStr">
        <is>
          <t>8 个 commit</t>
        </is>
      </c>
      <c r="G4" s="5" t="inlineStr">
        <is>
          <t>低</t>
        </is>
      </c>
      <c r="H4" s="7" t="inlineStr">
        <is>
          <t>mavis</t>
        </is>
      </c>
      <c r="I4" s="8" t="inlineStr">
        <is>
          <t>2</t>
        </is>
      </c>
      <c r="J4" s="9" t="inlineStr">
        <is>
          <t>systemd 化、qcluster 配置、ARCHERY_LOG_LEVEL</t>
        </is>
      </c>
      <c r="K4" s="10" t="inlineStr">
        <is>
          <t>【场景】dev 从手工启服务到稳定 systemd；【使用】systemctl start archery-prod-gunicorn / archery-prod-qcluster，journalctl -u 看日志。</t>
        </is>
      </c>
    </row>
    <row r="5" ht="48" customHeight="1">
      <c r="A5" s="3" t="inlineStr"/>
      <c r="B5" s="3" t="inlineStr">
        <is>
          <t>134/110 拓扑原则定</t>
        </is>
      </c>
      <c r="C5" s="3" t="inlineStr">
        <is>
          <t>2026-08-03</t>
        </is>
      </c>
      <c r="D5" s="4" t="inlineStr">
        <is>
          <t>100%</t>
        </is>
      </c>
      <c r="E5" s="5" t="inlineStr">
        <is>
          <t>已发布</t>
        </is>
      </c>
      <c r="F5" s="6" t="inlineStr">
        <is>
          <t>—</t>
        </is>
      </c>
      <c r="G5" s="5" t="inlineStr">
        <is>
          <t>低</t>
        </is>
      </c>
      <c r="H5" s="7" t="inlineStr">
        <is>
          <t>mavis</t>
        </is>
      </c>
      <c r="I5" s="8" t="inlineStr">
        <is>
          <t>0.1</t>
        </is>
      </c>
      <c r="J5" s="9" t="inlineStr">
        <is>
          <t>134=DEV / 110=PROD</t>
        </is>
      </c>
      <c r="K5" s="10" t="inlineStr">
        <is>
          <t>【场景】防止误操作生产；【使用】dev 验证通过才推 prod，110 prod 仅手动 ssh 介入。</t>
        </is>
      </c>
    </row>
    <row r="6" ht="48" customHeight="1">
      <c r="A6" s="3" t="inlineStr"/>
      <c r="B6" s="3" t="inlineStr">
        <is>
          <t>promote_110.sh 发布脚本</t>
        </is>
      </c>
      <c r="C6" s="3" t="inlineStr">
        <is>
          <t>2026-08-04</t>
        </is>
      </c>
      <c r="D6" s="4" t="inlineStr">
        <is>
          <t>100%</t>
        </is>
      </c>
      <c r="E6" s="5" t="inlineStr">
        <is>
          <t>已发布</t>
        </is>
      </c>
      <c r="F6" s="6" t="inlineStr">
        <is>
          <t>c9236a0</t>
        </is>
      </c>
      <c r="G6" s="5" t="inlineStr">
        <is>
          <t>低</t>
        </is>
      </c>
      <c r="H6" s="7" t="inlineStr">
        <is>
          <t>mavis</t>
        </is>
      </c>
      <c r="I6" s="8" t="inlineStr">
        <is>
          <t>0.5</t>
        </is>
      </c>
      <c r="J6" s="9" t="inlineStr">
        <is>
          <t>5 phase 发布脚本</t>
        </is>
      </c>
      <c r="K6" s="10" t="inlineStr">
        <is>
          <t>【场景】134 dev 验证完要一键推到 110 prod；【使用】在 134 上跑 ./scripts/promote_110.sh &lt;commit-hash&gt;，自动 backup + fetch + adapt + deploy。</t>
        </is>
      </c>
    </row>
    <row r="7" ht="48" customHeight="1">
      <c r="A7" s="11" t="inlineStr">
        <is>
          <t>钉钉 OA 集成</t>
        </is>
      </c>
      <c r="B7" s="3" t="inlineStr">
        <is>
          <t>驱动可插拔架构（audit_driver 路由）</t>
        </is>
      </c>
      <c r="C7" s="3" t="inlineStr">
        <is>
          <t>2026-08-04</t>
        </is>
      </c>
      <c r="D7" s="4" t="inlineStr">
        <is>
          <t>100%</t>
        </is>
      </c>
      <c r="E7" s="5" t="inlineStr">
        <is>
          <t>已发布</t>
        </is>
      </c>
      <c r="F7" s="6" t="inlineStr">
        <is>
          <t>abe7f66</t>
        </is>
      </c>
      <c r="G7" s="5" t="inlineStr">
        <is>
          <t>低</t>
        </is>
      </c>
      <c r="H7" s="7" t="inlineStr">
        <is>
          <t>mavis</t>
        </is>
      </c>
      <c r="I7" s="8" t="inlineStr">
        <is>
          <t>0.5</t>
        </is>
      </c>
      <c r="J7" s="9" t="inlineStr">
        <is>
          <t>audit_driver 可扩展</t>
        </is>
      </c>
      <c r="K7" s="10" t="inlineStr">
        <is>
          <t>【场景】未来想接入企业微信 OA / 飞书审批不用改核心；【使用】DRIVER_REGISTRY 注册新 driver，admin 配置 flow.audit_driver 选新值即可。</t>
        </is>
      </c>
    </row>
    <row r="8" ht="48" customHeight="1">
      <c r="A8" s="3" t="inlineStr"/>
      <c r="B8" s="3" t="inlineStr">
        <is>
          <t>3D policy matching 策略匹配</t>
        </is>
      </c>
      <c r="C8" s="3" t="inlineStr">
        <is>
          <t>2026-08-04</t>
        </is>
      </c>
      <c r="D8" s="4" t="inlineStr">
        <is>
          <t>100%</t>
        </is>
      </c>
      <c r="E8" s="5" t="inlineStr">
        <is>
          <t>已发布</t>
        </is>
      </c>
      <c r="F8" s="6" t="inlineStr">
        <is>
          <t>abe7f66</t>
        </is>
      </c>
      <c r="G8" s="5" t="inlineStr">
        <is>
          <t>低</t>
        </is>
      </c>
      <c r="H8" s="7" t="inlineStr">
        <is>
          <t>mavis</t>
        </is>
      </c>
      <c r="I8" s="8" t="inlineStr">
        <is>
          <t>0.5</t>
        </is>
      </c>
      <c r="J8" s="9" t="inlineStr">
        <is>
          <t>SQL 类型∧核心表∧行数</t>
        </is>
      </c>
      <c r="K8" s="10" t="inlineStr">
        <is>
          <t>【场景】不同 SQL 类型 + 不同业务表 + 不同行数走不同审批；【使用】admin 维护 ext_approval_policy 多条规则，按 priority 倒序匹配。</t>
        </is>
      </c>
    </row>
    <row r="9" ht="48" customHeight="1">
      <c r="A9" s="3" t="inlineStr"/>
      <c r="B9" s="3" t="inlineStr">
        <is>
          <t>handle_oa_callback 核心（幂等去重）</t>
        </is>
      </c>
      <c r="C9" s="3" t="inlineStr">
        <is>
          <t>2026-08-04</t>
        </is>
      </c>
      <c r="D9" s="4" t="inlineStr">
        <is>
          <t>100%</t>
        </is>
      </c>
      <c r="E9" s="5" t="inlineStr">
        <is>
          <t>已发布</t>
        </is>
      </c>
      <c r="F9" s="6" t="inlineStr">
        <is>
          <t>abe7f66</t>
        </is>
      </c>
      <c r="G9" s="5" t="inlineStr">
        <is>
          <t>低</t>
        </is>
      </c>
      <c r="H9" s="7" t="inlineStr">
        <is>
          <t>mavis</t>
        </is>
      </c>
      <c r="I9" s="8" t="inlineStr">
        <is>
          <t>0.5</t>
        </is>
      </c>
      <c r="J9" s="9" t="inlineStr">
        <is>
          <t>select_for_update + 验签</t>
        </is>
      </c>
      <c r="K9" s="10" t="inlineStr">
        <is>
          <t>【场景】钉钉侧审批结果自动回写到 Archery 状态；【使用】钉钉推送 → /dingtalk/oa/callback → 自动推进工单 + 写 WorkflowAuditDetail。</t>
        </is>
      </c>
    </row>
    <row r="10" ht="48" customHeight="1">
      <c r="A10" s="3" t="inlineStr"/>
      <c r="B10" s="3" t="inlineStr">
        <is>
          <t>1对1 通知端到端跑通</t>
        </is>
      </c>
      <c r="C10" s="3" t="inlineStr">
        <is>
          <t>2026-08-04</t>
        </is>
      </c>
      <c r="D10" s="4" t="inlineStr">
        <is>
          <t>100%</t>
        </is>
      </c>
      <c r="E10" s="5" t="inlineStr">
        <is>
          <t>已发布</t>
        </is>
      </c>
      <c r="F10" s="6" t="inlineStr">
        <is>
          <t>abe7f66</t>
        </is>
      </c>
      <c r="G10" s="5" t="inlineStr">
        <is>
          <t>低</t>
        </is>
      </c>
      <c r="H10" s="7" t="inlineStr">
        <is>
          <t>mavis</t>
        </is>
      </c>
      <c r="I10" s="8" t="inlineStr">
        <is>
          <t>0.3</t>
        </is>
      </c>
      <c r="J10" s="9" t="inlineStr">
        <is>
          <t>workflow_id=4 真跑通</t>
        </is>
      </c>
      <c r="K10" s="10" t="inlineStr">
        <is>
          <t>【场景】审批人变更时主动通知；【使用】dingtalk_oa driver 自动调钉钉 Open API 推 1对1 消息，业务方无需手动。</t>
        </is>
      </c>
    </row>
    <row r="11" ht="48" customHeight="1">
      <c r="A11" s="3" t="inlineStr"/>
      <c r="B11" s="3" t="inlineStr">
        <is>
          <t>v0.2.0 推到 110 prod</t>
        </is>
      </c>
      <c r="C11" s="3" t="inlineStr">
        <is>
          <t>2026-08-04</t>
        </is>
      </c>
      <c r="D11" s="4" t="inlineStr">
        <is>
          <t>100%</t>
        </is>
      </c>
      <c r="E11" s="5" t="inlineStr">
        <is>
          <t>已发布</t>
        </is>
      </c>
      <c r="F11" s="6" t="inlineStr">
        <is>
          <t>c9236a0</t>
        </is>
      </c>
      <c r="G11" s="12" t="inlineStr">
        <is>
          <t>中</t>
        </is>
      </c>
      <c r="H11" s="7" t="inlineStr">
        <is>
          <t>mavis</t>
        </is>
      </c>
      <c r="I11" s="8" t="inlineStr">
        <is>
          <t>1</t>
        </is>
      </c>
      <c r="J11" s="9" t="inlineStr">
        <is>
          <t>gunicorn pid 102228 + 4 workers</t>
        </is>
      </c>
      <c r="K11" s="10" t="inlineStr">
        <is>
          <t>【场景】134 dev 验证完成，要给生产用上钉钉 OA 框架；【使用】promote_110.sh + 110 .env 启用 OA，admin 维护流程。</t>
        </is>
      </c>
    </row>
    <row r="12" ht="48" customHeight="1">
      <c r="A12" s="3" t="inlineStr"/>
      <c r="B12" s="3" t="inlineStr">
        <is>
          <t>110 启用 OA 框架（published-not-enabled）</t>
        </is>
      </c>
      <c r="C12" s="3" t="inlineStr">
        <is>
          <t>2026-08-04 21:22</t>
        </is>
      </c>
      <c r="D12" s="4" t="inlineStr">
        <is>
          <t>100%</t>
        </is>
      </c>
      <c r="E12" s="5" t="inlineStr">
        <is>
          <t>已发布</t>
        </is>
      </c>
      <c r="F12" s="6" t="inlineStr">
        <is>
          <t>—</t>
        </is>
      </c>
      <c r="G12" s="5" t="inlineStr">
        <is>
          <t>低</t>
        </is>
      </c>
      <c r="H12" s="7" t="inlineStr">
        <is>
          <t>mavis</t>
        </is>
      </c>
      <c r="I12" s="8" t="inlineStr">
        <is>
          <t>0.2</t>
        </is>
      </c>
      <c r="J12" s="9" t="inlineStr">
        <is>
          <t>框架就绪、暂不启用</t>
        </is>
      </c>
      <c r="K12" s="10" t="inlineStr">
        <is>
          <t>【场景】110 prod 先上框架、暂不启用；【使用】admin 维护 ext_approval_flow / policy，把 audit_driver 切到 dingtalk_oa 即可启用。</t>
        </is>
      </c>
    </row>
    <row r="13" ht="48" customHeight="1">
      <c r="A13" s="15" t="inlineStr">
        <is>
          <t>gh-ost 无锁 DDL</t>
        </is>
      </c>
      <c r="B13" s="3" t="inlineStr">
        <is>
          <t>设计文档（12 章节）</t>
        </is>
      </c>
      <c r="C13" s="3" t="inlineStr">
        <is>
          <t>2026-08-05</t>
        </is>
      </c>
      <c r="D13" s="4" t="inlineStr">
        <is>
          <t>100%</t>
        </is>
      </c>
      <c r="E13" s="5" t="inlineStr">
        <is>
          <t>已发布</t>
        </is>
      </c>
      <c r="F13" s="6" t="inlineStr">
        <is>
          <t>df90b37</t>
        </is>
      </c>
      <c r="G13" s="5" t="inlineStr">
        <is>
          <t>低</t>
        </is>
      </c>
      <c r="H13" s="7" t="inlineStr">
        <is>
          <t>mavis</t>
        </is>
      </c>
      <c r="I13" s="8" t="inlineStr">
        <is>
          <t>0.2</t>
        </is>
      </c>
      <c r="J13" s="9" t="inlineStr">
        <is>
          <t>docs/designs/...html</t>
        </is>
      </c>
      <c r="K13" s="10" t="inlineStr">
        <is>
          <t>【场景】v0.3.0 要做什么 / 不做什么团队对齐；【使用】浏览器打开 docs/designs/2026-08-05_gh-ost-product-design.html，含场景、流程、验收标准。</t>
        </is>
      </c>
    </row>
    <row r="14" ht="48" customHeight="1">
      <c r="A14" s="3" t="inlineStr"/>
      <c r="B14" s="3" t="inlineStr">
        <is>
          <t>gh-ost v1.1.10 二进制装到 134 dev</t>
        </is>
      </c>
      <c r="C14" s="3" t="inlineStr">
        <is>
          <t>2026-08-05</t>
        </is>
      </c>
      <c r="D14" s="4" t="inlineStr">
        <is>
          <t>100%</t>
        </is>
      </c>
      <c r="E14" s="5" t="inlineStr">
        <is>
          <t>已发布</t>
        </is>
      </c>
      <c r="F14" s="6" t="inlineStr">
        <is>
          <t>—</t>
        </is>
      </c>
      <c r="G14" s="5" t="inlineStr">
        <is>
          <t>低</t>
        </is>
      </c>
      <c r="H14" s="7" t="inlineStr">
        <is>
          <t>mavis</t>
        </is>
      </c>
      <c r="I14" s="8" t="inlineStr">
        <is>
          <t>0.2</t>
        </is>
      </c>
      <c r="J14" s="9" t="inlineStr">
        <is>
          <t>/usr/local/bin/gh-ost</t>
        </is>
      </c>
      <c r="K14" s="10" t="inlineStr">
        <is>
          <t>【场景】dev 环境演练无锁 DDL；【使用】gh-ost --version 验证 v1.1.10；后续 Archery 调它时走 settings.CUSTOM_GH_OST_BIN。</t>
        </is>
      </c>
    </row>
    <row r="15" ht="48" customHeight="1">
      <c r="A15" s="3" t="inlineStr"/>
      <c r="B15" s="3" t="inlineStr">
        <is>
          <t>v0.3.0-alpha：ext_ddl_ghost_task 表 + admin</t>
        </is>
      </c>
      <c r="C15" s="3" t="inlineStr">
        <is>
          <t>2026-08-06 上午</t>
        </is>
      </c>
      <c r="D15" s="4" t="inlineStr">
        <is>
          <t>100%</t>
        </is>
      </c>
      <c r="E15" s="5" t="inlineStr">
        <is>
          <t>已发布</t>
        </is>
      </c>
      <c r="F15" s="6" t="inlineStr">
        <is>
          <t>4f34a81</t>
        </is>
      </c>
      <c r="G15" s="5" t="inlineStr">
        <is>
          <t>低</t>
        </is>
      </c>
      <c r="H15" s="7" t="inlineStr">
        <is>
          <t>mavis</t>
        </is>
      </c>
      <c r="I15" s="8" t="inlineStr">
        <is>
          <t>0.5</t>
        </is>
      </c>
      <c r="J15" s="9" t="inlineStr">
        <is>
          <t>状态机 + 进度字段</t>
        </is>
      </c>
      <c r="K15" s="10" t="inlineStr">
        <is>
          <t>【场景】gh-ost 任务需要持久化记录 + admin 可查；【使用】admin → 扩展表 → gh-ost 任务，能看每条 task 的状态/进度/进程/错误。</t>
        </is>
      </c>
    </row>
    <row r="16" ht="48" customHeight="1">
      <c r="A16" s="3" t="inlineStr"/>
      <c r="B16" s="3" t="inlineStr">
        <is>
          <t>v0.3.0-alpha：预检查 5 道（binlog/disk/privs/sql/table_type）</t>
        </is>
      </c>
      <c r="C16" s="3" t="inlineStr">
        <is>
          <t>2026-08-06 上午</t>
        </is>
      </c>
      <c r="D16" s="4" t="inlineStr">
        <is>
          <t>100%</t>
        </is>
      </c>
      <c r="E16" s="5" t="inlineStr">
        <is>
          <t>已发布</t>
        </is>
      </c>
      <c r="F16" s="6" t="inlineStr">
        <is>
          <t>4f34a81</t>
        </is>
      </c>
      <c r="G16" s="5" t="inlineStr">
        <is>
          <t>低</t>
        </is>
      </c>
      <c r="H16" s="7" t="inlineStr">
        <is>
          <t>mavis</t>
        </is>
      </c>
      <c r="I16" s="8" t="inlineStr">
        <is>
          <t>0.5</t>
        </is>
      </c>
      <c r="J16" s="9" t="inlineStr">
        <is>
          <t>只读检查</t>
        </is>
      </c>
      <c r="K16" s="10" t="inlineStr">
        <is>
          <t>【场景】防止 gh-ost 跑挂了（binlog 不对、磁盘不够、权限缺、SQL 不合法、源表不对）；【使用】业务方勾"启用 gh-ost"时自动跑，5/5 PASS 才允许起进程。</t>
        </is>
      </c>
    </row>
    <row r="17" ht="48" customHeight="1">
      <c r="A17" s="3" t="inlineStr"/>
      <c r="B17" s="3" t="inlineStr">
        <is>
          <t>v0.3.0-alpha：6 个 endpoint + 进度面板</t>
        </is>
      </c>
      <c r="C17" s="3" t="inlineStr">
        <is>
          <t>2026-08-06 上午</t>
        </is>
      </c>
      <c r="D17" s="4" t="inlineStr">
        <is>
          <t>100%</t>
        </is>
      </c>
      <c r="E17" s="5" t="inlineStr">
        <is>
          <t>已发布</t>
        </is>
      </c>
      <c r="F17" s="6" t="inlineStr">
        <is>
          <t>4f34a81</t>
        </is>
      </c>
      <c r="G17" s="5" t="inlineStr">
        <is>
          <t>低</t>
        </is>
      </c>
      <c r="H17" s="7" t="inlineStr">
        <is>
          <t>mavis</t>
        </is>
      </c>
      <c r="I17" s="8" t="inlineStr">
        <is>
          <t>0.5</t>
        </is>
      </c>
      <c r="J17" s="9" t="inlineStr">
        <is>
          <t>precheck/enable/start/cancel/status/progress</t>
        </is>
      </c>
      <c r="K17" s="10" t="inlineStr">
        <is>
          <t>【场景】前后端交互 + 业务方看迁移进度；【使用】POST /gh_ost/{action}/&lt;wf_id&gt;/ 触发；GET /gh_ost/progress/&lt;wf_id&gt;/ 看可视化进度面板（3s 自动刷新）。</t>
        </is>
      </c>
    </row>
    <row r="18" ht="48" customHeight="1">
      <c r="A18" s="3" t="inlineStr"/>
      <c r="B18" s="3" t="inlineStr">
        <is>
          <t>v0.3.0-alpha：端到端跑通 4 个 bug 修复</t>
        </is>
      </c>
      <c r="C18" s="3" t="inlineStr">
        <is>
          <t>2026-08-06 上午</t>
        </is>
      </c>
      <c r="D18" s="4" t="inlineStr">
        <is>
          <t>100%</t>
        </is>
      </c>
      <c r="E18" s="5" t="inlineStr">
        <is>
          <t>已发布</t>
        </is>
      </c>
      <c r="F18" s="6" t="inlineStr">
        <is>
          <t>c0f42b3</t>
        </is>
      </c>
      <c r="G18" s="5" t="inlineStr">
        <is>
          <t>低</t>
        </is>
      </c>
      <c r="H18" s="7" t="inlineStr">
        <is>
          <t>mavis</t>
        </is>
      </c>
      <c r="I18" s="8" t="inlineStr">
        <is>
          <t>0.3</t>
        </is>
      </c>
      <c r="J18" s="9" t="inlineStr">
        <is>
          <t>4 bug</t>
        </is>
      </c>
      <c r="K18" s="10" t="inlineStr">
        <is>
          <t>【场景】alpha 端到端要跑通；【使用】用户无感，自动修复 SqlWorkflowContent OneToOne / PARTITION_NAME 列名 / ENGINE 大小写 / .env 兜底直连。</t>
        </is>
      </c>
    </row>
    <row r="19" ht="48" customHeight="1">
      <c r="A19" s="3" t="inlineStr"/>
      <c r="B19" s="3" t="inlineStr">
        <is>
          <t>v0.3.0-beta：真启 gh-ost 子进程（runner.py）</t>
        </is>
      </c>
      <c r="C19" s="3" t="inlineStr">
        <is>
          <t>2026-08-06 下午</t>
        </is>
      </c>
      <c r="D19" s="4" t="inlineStr">
        <is>
          <t>100%</t>
        </is>
      </c>
      <c r="E19" s="5" t="inlineStr">
        <is>
          <t>已发布</t>
        </is>
      </c>
      <c r="F19" s="6" t="inlineStr">
        <is>
          <t>2c5a0b7</t>
        </is>
      </c>
      <c r="G19" s="5" t="inlineStr">
        <is>
          <t>低</t>
        </is>
      </c>
      <c r="H19" s="7" t="inlineStr">
        <is>
          <t>mavis</t>
        </is>
      </c>
      <c r="I19" s="8" t="inlineStr">
        <is>
          <t>0.3</t>
        </is>
      </c>
      <c r="J19" s="9" t="inlineStr">
        <is>
          <t>Popen + nohup</t>
        </is>
      </c>
      <c r="K19" s="10" t="inlineStr">
        <is>
          <t>【场景】业务方提交 ALTER TABLE 工单要真改表；【使用】业务方在工单详情勾选 gh-ost → 5/5 PASS → DBA admin 点"启动"。</t>
        </is>
      </c>
    </row>
    <row r="20" ht="48" customHeight="1">
      <c r="A20" s="3" t="inlineStr"/>
      <c r="B20" s="3" t="inlineStr">
        <is>
          <t>v0.3.0-beta：stdout 解析器（parser.py）</t>
        </is>
      </c>
      <c r="C20" s="3" t="inlineStr">
        <is>
          <t>2026-08-06 下午</t>
        </is>
      </c>
      <c r="D20" s="4" t="inlineStr">
        <is>
          <t>100%</t>
        </is>
      </c>
      <c r="E20" s="5" t="inlineStr">
        <is>
          <t>已发布</t>
        </is>
      </c>
      <c r="F20" s="6" t="inlineStr">
        <is>
          <t>2c5a0b7</t>
        </is>
      </c>
      <c r="G20" s="5" t="inlineStr">
        <is>
          <t>低</t>
        </is>
      </c>
      <c r="H20" s="7" t="inlineStr">
        <is>
          <t>mavis</t>
        </is>
      </c>
      <c r="I20" s="8" t="inlineStr">
        <is>
          <t>0.3</t>
        </is>
      </c>
      <c r="J20" s="9" t="inlineStr">
        <is>
          <t>1.1.10 输出兼容</t>
        </is>
      </c>
      <c r="K20" s="10" t="inlineStr">
        <is>
          <t>【场景】gh-ost 进程输出要可视化；【使用】poller 自动每 3s 解析 log → 写 task.progress_* → 进度面板实时更新。</t>
        </is>
      </c>
    </row>
    <row r="21" ht="48" customHeight="1">
      <c r="A21" s="3" t="inlineStr"/>
      <c r="B21" s="3" t="inlineStr">
        <is>
          <t>v0.3.0-beta：状态机自动推进（poller.py）</t>
        </is>
      </c>
      <c r="C21" s="3" t="inlineStr">
        <is>
          <t>2026-08-06 下午</t>
        </is>
      </c>
      <c r="D21" s="4" t="inlineStr">
        <is>
          <t>100%</t>
        </is>
      </c>
      <c r="E21" s="5" t="inlineStr">
        <is>
          <t>已发布</t>
        </is>
      </c>
      <c r="F21" s="6" t="inlineStr">
        <is>
          <t>2c5a0b7</t>
        </is>
      </c>
      <c r="G21" s="5" t="inlineStr">
        <is>
          <t>低</t>
        </is>
      </c>
      <c r="H21" s="7" t="inlineStr">
        <is>
          <t>mavis</t>
        </is>
      </c>
      <c r="I21" s="8" t="inlineStr">
        <is>
          <t>0.5</t>
        </is>
      </c>
      <c r="J21" s="9" t="inlineStr">
        <is>
          <t>3s 轮询</t>
        </is>
      </c>
      <c r="K21" s="10" t="inlineStr">
        <is>
          <t>【场景】gh-ost 跑完后状态要自动切到 success/failed；【使用】poller 检测进程死亡 + 解析 log 末尾 → 自动 _finalize_task 写终态。</t>
        </is>
      </c>
    </row>
    <row r="22" ht="48" customHeight="1">
      <c r="A22" s="3" t="inlineStr"/>
      <c r="B22" s="3" t="inlineStr">
        <is>
          <t>v0.3.0-beta：admin cancel / retry / rollback 3 action</t>
        </is>
      </c>
      <c r="C22" s="3" t="inlineStr">
        <is>
          <t>2026-08-06 下午</t>
        </is>
      </c>
      <c r="D22" s="4" t="inlineStr">
        <is>
          <t>100%</t>
        </is>
      </c>
      <c r="E22" s="5" t="inlineStr">
        <is>
          <t>已发布</t>
        </is>
      </c>
      <c r="F22" s="6" t="inlineStr">
        <is>
          <t>2c5a0b7</t>
        </is>
      </c>
      <c r="G22" s="5" t="inlineStr">
        <is>
          <t>低</t>
        </is>
      </c>
      <c r="H22" s="7" t="inlineStr">
        <is>
          <t>mavis</t>
        </is>
      </c>
      <c r="I22" s="8" t="inlineStr">
        <is>
          <t>0.3</t>
        </is>
      </c>
      <c r="J22" s="9" t="inlineStr">
        <is>
          <t>DBA 介入入口</t>
        </is>
      </c>
      <c r="K22" s="10" t="inlineStr">
        <is>
          <t>【场景】DBA 紧急介入（取消/重试/回滚）；【使用】admin → gh-ost 任务 → 勾选 → 选 action（取消当前、重试失败、手动 drop 影子表）。</t>
        </is>
      </c>
    </row>
    <row r="23" ht="48" customHeight="1">
      <c r="A23" s="3" t="inlineStr"/>
      <c r="B23" s="3" t="inlineStr">
        <is>
          <t>v0.3.0-beta：钉钉群通知（notify.py）</t>
        </is>
      </c>
      <c r="C23" s="3" t="inlineStr">
        <is>
          <t>2026-08-06 下午</t>
        </is>
      </c>
      <c r="D23" s="4" t="inlineStr">
        <is>
          <t>100%</t>
        </is>
      </c>
      <c r="E23" s="5" t="inlineStr">
        <is>
          <t>已发布</t>
        </is>
      </c>
      <c r="F23" s="6" t="inlineStr">
        <is>
          <t>2c5a0b7</t>
        </is>
      </c>
      <c r="G23" s="5" t="inlineStr">
        <is>
          <t>低</t>
        </is>
      </c>
      <c r="H23" s="7" t="inlineStr">
        <is>
          <t>mavis</t>
        </is>
      </c>
      <c r="I23" s="8" t="inlineStr">
        <is>
          <t>0.2</t>
        </is>
      </c>
      <c r="J23" s="9" t="inlineStr">
        <is>
          <t>best-effort</t>
        </is>
      </c>
      <c r="K23" s="10" t="inlineStr">
        <is>
          <t>【场景】DBA 群要知道工单迁移结果；【使用】配置 110 .env 的 DINGTALK_NOTIFY_WEBHOOK，task 终态时自动 @ 发起人 + 报告耗时。</t>
        </is>
      </c>
    </row>
    <row r="24" ht="48" customHeight="1">
      <c r="A24" s="3" t="inlineStr"/>
      <c r="B24" s="3" t="inlineStr">
        <is>
          <t>v0.3.0-beta：暂停阈值（Threads_running SIGSTOP）</t>
        </is>
      </c>
      <c r="C24" s="3" t="inlineStr">
        <is>
          <t>2026-08-06 下午</t>
        </is>
      </c>
      <c r="D24" s="4" t="inlineStr">
        <is>
          <t>100%</t>
        </is>
      </c>
      <c r="E24" s="5" t="inlineStr">
        <is>
          <t>已发布</t>
        </is>
      </c>
      <c r="F24" s="6" t="inlineStr">
        <is>
          <t>2c5a0b7</t>
        </is>
      </c>
      <c r="G24" s="5" t="inlineStr">
        <is>
          <t>低</t>
        </is>
      </c>
      <c r="H24" s="7" t="inlineStr">
        <is>
          <t>mavis</t>
        </is>
      </c>
      <c r="I24" s="8" t="inlineStr">
        <is>
          <t>0.3</t>
        </is>
      </c>
      <c r="J24" s="9" t="inlineStr">
        <is>
          <t>生产保护</t>
        </is>
      </c>
      <c r="K24" s="10" t="inlineStr">
        <is>
          <t>【场景】生产高峰期不能压垮 MySQL；【使用】poller 每 10s 查 Threads_running → 超阈值 SIGSTOP gh-ost → 负载降下来 SIGCONT。</t>
        </is>
      </c>
    </row>
    <row r="25" ht="48" customHeight="1">
      <c r="A25" s="3" t="inlineStr"/>
      <c r="B25" s="3" t="inlineStr">
        <is>
          <t>v0.3.0-beta：影子表 7 天 cron</t>
        </is>
      </c>
      <c r="C25" s="3" t="inlineStr">
        <is>
          <t>2026-08-06 下午</t>
        </is>
      </c>
      <c r="D25" s="4" t="inlineStr">
        <is>
          <t>100%</t>
        </is>
      </c>
      <c r="E25" s="5" t="inlineStr">
        <is>
          <t>已发布</t>
        </is>
      </c>
      <c r="F25" s="6" t="inlineStr">
        <is>
          <t>2c5a0b7</t>
        </is>
      </c>
      <c r="G25" s="5" t="inlineStr">
        <is>
          <t>低</t>
        </is>
      </c>
      <c r="H25" s="7" t="inlineStr">
        <is>
          <t>mavis</t>
        </is>
      </c>
      <c r="I25" s="8" t="inlineStr">
        <is>
          <t>0.3</t>
        </is>
      </c>
      <c r="J25" s="9" t="inlineStr">
        <is>
          <t>管理命令</t>
        </is>
      </c>
      <c r="K25" s="10" t="inlineStr">
        <is>
          <t>【场景】失败留下的影子表越攒越多；【使用】django-q 调度 /usr/bin/python manage.py cleanup_ghost_tables（或手动跑加 --dry-run 预览）。</t>
        </is>
      </c>
    </row>
    <row r="26" ht="48" customHeight="1">
      <c r="A26" s="3" t="inlineStr"/>
      <c r="B26" s="3" t="inlineStr">
        <is>
          <t>134 dev 真表演练 5 次（cut-over 全部成功）</t>
        </is>
      </c>
      <c r="C26" s="3" t="inlineStr">
        <is>
          <t>2026-08-06 下午</t>
        </is>
      </c>
      <c r="D26" s="4" t="inlineStr">
        <is>
          <t>100%</t>
        </is>
      </c>
      <c r="E26" s="5" t="inlineStr">
        <is>
          <t>已发布</t>
        </is>
      </c>
      <c r="F26" s="6" t="inlineStr">
        <is>
          <t>—</t>
        </is>
      </c>
      <c r="G26" s="5" t="inlineStr">
        <is>
          <t>低</t>
        </is>
      </c>
      <c r="H26" s="7" t="inlineStr">
        <is>
          <t>mavis</t>
        </is>
      </c>
      <c r="I26" s="8" t="inlineStr">
        <is>
          <t>0.5</t>
        </is>
      </c>
      <c r="J26" s="9" t="inlineStr">
        <is>
          <t>5 次真改</t>
        </is>
      </c>
      <c r="K26" s="10" t="inlineStr">
        <is>
          <t>【场景】验证端到端在真实业务表上能跑通；【使用】DBA 看 task 状态从 queued → running → success，影子表自动 drop。</t>
        </is>
      </c>
    </row>
    <row r="27" ht="48" customHeight="1">
      <c r="A27" s="3" t="inlineStr"/>
      <c r="B27" s="3" t="inlineStr">
        <is>
          <t>v0.3.0 推 110 prod</t>
        </is>
      </c>
      <c r="C27" s="3" t="inlineStr">
        <is>
          <t>—</t>
        </is>
      </c>
      <c r="D27" s="13" t="inlineStr">
        <is>
          <t>0%</t>
        </is>
      </c>
      <c r="E27" s="12" t="inlineStr">
        <is>
          <t>待办</t>
        </is>
      </c>
      <c r="F27" s="6" t="inlineStr">
        <is>
          <t>—</t>
        </is>
      </c>
      <c r="G27" s="12" t="inlineStr">
        <is>
          <t>中</t>
        </is>
      </c>
      <c r="H27" s="7" t="inlineStr">
        <is>
          <t>mavis</t>
        </is>
      </c>
      <c r="I27" s="8" t="inlineStr">
        <is>
          <t>1</t>
        </is>
      </c>
      <c r="J27" s="9" t="inlineStr">
        <is>
          <t>等 webhook + 密文修复</t>
        </is>
      </c>
      <c r="K27" s="10" t="inlineStr">
        <is>
          <t>【场景】dev 验证完要上生产；【使用】配 110 .env 配 DINGTALK_NOTIFY_WEBHOOK + DBA 重新保存 instance user/password（解 mirage 密文）+ promote_110.sh。</t>
        </is>
      </c>
    </row>
    <row r="28" ht="48" customHeight="1">
      <c r="A28" s="3" t="inlineStr"/>
      <c r="B28" s="3" t="inlineStr">
        <is>
          <t>提 MR6 给上游 hhyo/Archery</t>
        </is>
      </c>
      <c r="C28" s="3" t="inlineStr">
        <is>
          <t>—</t>
        </is>
      </c>
      <c r="D28" s="13" t="inlineStr">
        <is>
          <t>0%</t>
        </is>
      </c>
      <c r="E28" s="16" t="inlineStr">
        <is>
          <t>可选</t>
        </is>
      </c>
      <c r="F28" s="6" t="inlineStr">
        <is>
          <t>09d3cc2</t>
        </is>
      </c>
      <c r="G28" s="5" t="inlineStr">
        <is>
          <t>低</t>
        </is>
      </c>
      <c r="H28" s="7" t="inlineStr">
        <is>
          <t>mavis</t>
        </is>
      </c>
      <c r="I28" s="8" t="inlineStr">
        <is>
          <t>0.2</t>
        </is>
      </c>
      <c r="J28" s="9" t="inlineStr">
        <is>
          <t>5 行 diff</t>
        </is>
      </c>
      <c r="K28" s="10" t="inlineStr">
        <is>
          <t>【场景】bigint 精度问题影响所有 1.14.0 用户；【使用】mavis PR 到 github.com/hhyo/Archery，5 行 diff（sql_api/renderers.py 加 bigint_as_string=True）。</t>
        </is>
      </c>
    </row>
    <row r="29" ht="48" customHeight="1">
      <c r="A29" s="17" t="inlineStr">
        <is>
          <t>收尾</t>
        </is>
      </c>
      <c r="B29" s="3" t="inlineStr">
        <is>
          <t>D+7 清理 110 旧版 /dbdata/archery_v114/</t>
        </is>
      </c>
      <c r="C29" s="3" t="inlineStr">
        <is>
          <t>2026-08-12 后</t>
        </is>
      </c>
      <c r="D29" s="13" t="inlineStr">
        <is>
          <t>0%</t>
        </is>
      </c>
      <c r="E29" s="12" t="inlineStr">
        <is>
          <t>待办</t>
        </is>
      </c>
      <c r="F29" s="6" t="inlineStr">
        <is>
          <t>—</t>
        </is>
      </c>
      <c r="G29" s="5" t="inlineStr">
        <is>
          <t>低</t>
        </is>
      </c>
      <c r="H29" s="7" t="inlineStr">
        <is>
          <t>mavis</t>
        </is>
      </c>
      <c r="I29" s="8" t="inlineStr">
        <is>
          <t>0.2</t>
        </is>
      </c>
      <c r="J29" s="9" t="inlineStr">
        <is>
          <t>A 级回滚保险到期</t>
        </is>
      </c>
      <c r="K29" s="10" t="inlineStr">
        <is>
          <t>【场景】110 prod 旧版保留 7 天后可以清；【使用】DBA 在 2026-08-12 后跑 rm -rf /dbdata/archery_v114/ + 删 /backup/promote/switch_20260805_201046/。</t>
        </is>
      </c>
    </row>
    <row r="30" ht="48" customHeight="1">
      <c r="A30" s="3" t="inlineStr"/>
      <c r="B30" s="3" t="inlineStr">
        <is>
          <t>MR 5 MySQL 5.7 → 8.0 升级规划</t>
        </is>
      </c>
      <c r="C30" s="3" t="inlineStr">
        <is>
          <t>—</t>
        </is>
      </c>
      <c r="D30" s="13" t="inlineStr">
        <is>
          <t>0%</t>
        </is>
      </c>
      <c r="E30" s="16" t="inlineStr">
        <is>
          <t>TBD</t>
        </is>
      </c>
      <c r="F30" s="6" t="inlineStr">
        <is>
          <t>—</t>
        </is>
      </c>
      <c r="G30" s="18" t="inlineStr">
        <is>
          <t>高</t>
        </is>
      </c>
      <c r="H30" s="19" t="inlineStr">
        <is>
          <t>TBD（独立项目）</t>
        </is>
      </c>
      <c r="I30" s="14" t="inlineStr">
        <is>
          <t>5+</t>
        </is>
      </c>
      <c r="J30" s="9" t="inlineStr">
        <is>
          <t>独立项目</t>
        </is>
      </c>
      <c r="K30" s="10" t="inlineStr">
        <is>
          <t>【场景】5.7 已 EOL，必须升级到 8.0；【使用】独立项目评估 → 语法兼容性测试 + 字符集迁移 + 复制拓扑验证 → 切流（预计 5+ 天）。</t>
        </is>
      </c>
    </row>
    <row r="31" ht="48" customHeight="1">
      <c r="A31" s="15" t="inlineStr">
        <is>
          <t>gh-ost 无锁 DDL</t>
        </is>
      </c>
      <c r="B31" s="3" t="inlineStr">
        <is>
          <t>v0.4.0 列压缩</t>
        </is>
      </c>
      <c r="C31" s="3" t="inlineStr">
        <is>
          <t>2026-08-06</t>
        </is>
      </c>
      <c r="D31" s="13" t="inlineStr">
        <is>
          <t>0%</t>
        </is>
      </c>
      <c r="E31" s="12" t="inlineStr">
        <is>
          <t>待办</t>
        </is>
      </c>
      <c r="F31" s="6" t="inlineStr">
        <is>
          <t>2c5a0b7</t>
        </is>
      </c>
      <c r="G31" s="12" t="inlineStr">
        <is>
          <t>中</t>
        </is>
      </c>
      <c r="H31" s="7" t="inlineStr">
        <is>
          <t>mavis</t>
        </is>
      </c>
      <c r="I31" s="8" t="inlineStr">
        <is>
          <t>2</t>
        </is>
      </c>
      <c r="J31" s="9" t="inlineStr"/>
      <c r="K31" s="10" t="inlineStr"/>
    </row>
    <row r="32" ht="48" customHeight="1">
      <c r="A32" s="15" t="inlineStr">
        <is>
          <t>gh-ost 无锁 DDL</t>
        </is>
      </c>
      <c r="B32" s="3" t="inlineStr">
        <is>
          <t>v0.4.0 列压缩</t>
        </is>
      </c>
      <c r="C32" s="3" t="inlineStr">
        <is>
          <t>2026-08-06</t>
        </is>
      </c>
      <c r="D32" s="13" t="inlineStr">
        <is>
          <t>0%</t>
        </is>
      </c>
      <c r="E32" s="12" t="inlineStr">
        <is>
          <t>待办</t>
        </is>
      </c>
      <c r="F32" s="6" t="inlineStr">
        <is>
          <t>8d78389</t>
        </is>
      </c>
      <c r="G32" s="12" t="inlineStr">
        <is>
          <t>中</t>
        </is>
      </c>
      <c r="H32" s="7" t="inlineStr">
        <is>
          <t>mavis</t>
        </is>
      </c>
      <c r="I32" s="8" t="inlineStr">
        <is>
          <t>2</t>
        </is>
      </c>
      <c r="J32" s="9" t="inlineStr"/>
      <c r="K32" s="10" t="inlineStr"/>
    </row>
    <row r="33" ht="24" customHeight="1">
      <c r="A33" s="11" t="inlineStr">
        <is>
          <t>钉钉 OA 集成</t>
        </is>
      </c>
      <c r="B33" s="3" t="inlineStr">
        <is>
          <t>v0.2.1 钉钉 OA 模板（process_code）</t>
        </is>
      </c>
      <c r="C33" s="3" t="inlineStr">
        <is>
          <t>2026-08-06</t>
        </is>
      </c>
      <c r="D33" s="13" t="inlineStr">
        <is>
          <t>0%</t>
        </is>
      </c>
      <c r="E33" s="12" t="inlineStr">
        <is>
          <t>待办</t>
        </is>
      </c>
      <c r="F33" s="6" t="inlineStr">
        <is>
          <t>33cfd0f</t>
        </is>
      </c>
      <c r="G33" s="12" t="inlineStr">
        <is>
          <t>中</t>
        </is>
      </c>
      <c r="H33" s="8" t="inlineStr">
        <is>
          <t>阿达叔叔</t>
        </is>
      </c>
      <c r="I33" s="8" t="inlineStr">
        <is>
          <t>0.5</t>
        </is>
      </c>
      <c r="J33" s="9" t="inlineStr"/>
      <c r="K33" s="10" t="inlineStr"/>
    </row>
    <row r="34" ht="24" customHeight="1">
      <c r="A34" s="11" t="inlineStr">
        <is>
          <t>钉钉 OA 集成</t>
        </is>
      </c>
      <c r="B34" s="3" t="inlineStr">
        <is>
          <t>v0.2.2 Tunnel + 回调加密（cloudflared）</t>
        </is>
      </c>
      <c r="C34" s="3" t="inlineStr">
        <is>
          <t>2026-08-06</t>
        </is>
      </c>
      <c r="D34" s="13" t="inlineStr">
        <is>
          <t>0%</t>
        </is>
      </c>
      <c r="E34" s="12" t="inlineStr">
        <is>
          <t>待办</t>
        </is>
      </c>
      <c r="F34" s="6" t="inlineStr">
        <is>
          <t>33cfd0f</t>
        </is>
      </c>
      <c r="G34" s="12" t="inlineStr">
        <is>
          <t>中</t>
        </is>
      </c>
      <c r="H34" s="8" t="inlineStr">
        <is>
          <t>阿达叔叔</t>
        </is>
      </c>
      <c r="I34" s="8" t="inlineStr">
        <is>
          <t>1</t>
        </is>
      </c>
      <c r="J34" s="9" t="inlineStr"/>
      <c r="K34" s="10" t="inlineStr"/>
    </row>
    <row r="35" ht="24" customHeight="1">
      <c r="A35" s="11" t="inlineStr">
        <is>
          <t>钉钉 OA 集成</t>
        </is>
      </c>
      <c r="B35" s="3" t="inlineStr">
        <is>
          <t>v0.2.3 对账 cron + runbook</t>
        </is>
      </c>
      <c r="C35" s="3" t="inlineStr">
        <is>
          <t>2026-08-06</t>
        </is>
      </c>
      <c r="D35" s="13" t="inlineStr">
        <is>
          <t>0%</t>
        </is>
      </c>
      <c r="E35" s="12" t="inlineStr">
        <is>
          <t>待办</t>
        </is>
      </c>
      <c r="F35" s="6" t="inlineStr">
        <is>
          <t>33cfd0f</t>
        </is>
      </c>
      <c r="G35" s="12" t="inlineStr">
        <is>
          <t>中</t>
        </is>
      </c>
      <c r="H35" s="7" t="inlineStr">
        <is>
          <t>mavis</t>
        </is>
      </c>
      <c r="I35" s="8" t="inlineStr">
        <is>
          <t>1</t>
        </is>
      </c>
      <c r="J35" s="9" t="inlineStr"/>
      <c r="K35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0" t="inlineStr">
        <is>
          <t>Archery 二次开发 · 汇总统计</t>
        </is>
      </c>
    </row>
    <row r="3" ht="22" customHeight="1">
      <c r="A3" s="21" t="inlineStr">
        <is>
          <t>按主功能统计</t>
        </is>
      </c>
    </row>
    <row r="4" ht="24" customHeight="1">
      <c r="A4" s="1" t="inlineStr">
        <is>
          <t>主功能</t>
        </is>
      </c>
      <c r="B4" s="1" t="inlineStr">
        <is>
          <t>子项目数</t>
        </is>
      </c>
      <c r="C4" s="1" t="inlineStr">
        <is>
          <t>已完成</t>
        </is>
      </c>
      <c r="D4" s="1" t="inlineStr">
        <is>
          <t>完成率</t>
        </is>
      </c>
      <c r="E4" s="1" t="inlineStr">
        <is>
          <t>高风险数</t>
        </is>
      </c>
      <c r="F4" s="1" t="inlineStr">
        <is>
          <t>投入人天</t>
        </is>
      </c>
    </row>
    <row r="5">
      <c r="A5" s="22" t="inlineStr">
        <is>
          <t>平台基础</t>
        </is>
      </c>
      <c r="B5" s="23">
        <f>COUNTIF(功能开发计划!A:A,A5)</f>
        <v/>
      </c>
      <c r="C5" s="23">
        <f>COUNTIFS(功能开发计划!A:A,A5,功能开发计划!E:E,"已发布")</f>
        <v/>
      </c>
      <c r="D5" s="24">
        <f>IFERROR(C5/B5,0)</f>
        <v/>
      </c>
      <c r="E5" s="23">
        <f>COUNTIFS(功能开发计划!A:A,A5,功能开发计划!G:G,"高")</f>
        <v/>
      </c>
      <c r="F5" s="25">
        <f>SUMPRODUCT((功能开发计划!A2:A33=A5)*ISNUMBER(功能开发计划!I2:I33)*功能开发计划!I2:I33)</f>
        <v/>
      </c>
    </row>
    <row r="6">
      <c r="A6" s="26" t="inlineStr">
        <is>
          <t>钉钉 OA 集成</t>
        </is>
      </c>
      <c r="B6" s="23">
        <f>COUNTIF(功能开发计划!A:A,A6)</f>
        <v/>
      </c>
      <c r="C6" s="23">
        <f>COUNTIFS(功能开发计划!A:A,A6,功能开发计划!E:E,"已发布")</f>
        <v/>
      </c>
      <c r="D6" s="24">
        <f>IFERROR(C6/B6,0)</f>
        <v/>
      </c>
      <c r="E6" s="23">
        <f>COUNTIFS(功能开发计划!A:A,A6,功能开发计划!G:G,"高")</f>
        <v/>
      </c>
      <c r="F6" s="25">
        <f>SUMPRODUCT((功能开发计划!A2:A33=A6)*ISNUMBER(功能开发计划!I2:I33)*功能开发计划!I2:I33)</f>
        <v/>
      </c>
    </row>
    <row r="7">
      <c r="A7" s="27" t="inlineStr">
        <is>
          <t>gh-ost 无锁 DDL</t>
        </is>
      </c>
      <c r="B7" s="23">
        <f>COUNTIF(功能开发计划!A:A,A7)</f>
        <v/>
      </c>
      <c r="C7" s="23">
        <f>COUNTIFS(功能开发计划!A:A,A7,功能开发计划!E:E,"已发布")</f>
        <v/>
      </c>
      <c r="D7" s="24">
        <f>IFERROR(C7/B7,0)</f>
        <v/>
      </c>
      <c r="E7" s="23">
        <f>COUNTIFS(功能开发计划!A:A,A7,功能开发计划!G:G,"高")</f>
        <v/>
      </c>
      <c r="F7" s="25">
        <f>SUMPRODUCT((功能开发计划!A2:A33=A7)*ISNUMBER(功能开发计划!I2:I33)*功能开发计划!I2:I33)</f>
        <v/>
      </c>
    </row>
    <row r="8">
      <c r="A8" s="28" t="inlineStr">
        <is>
          <t>收尾</t>
        </is>
      </c>
      <c r="B8" s="23">
        <f>COUNTIF(功能开发计划!A:A,A8)</f>
        <v/>
      </c>
      <c r="C8" s="23">
        <f>COUNTIFS(功能开发计划!A:A,A8,功能开发计划!E:E,"已发布")</f>
        <v/>
      </c>
      <c r="D8" s="24">
        <f>IFERROR(C8/B8,0)</f>
        <v/>
      </c>
      <c r="E8" s="23">
        <f>COUNTIFS(功能开发计划!A:A,A8,功能开发计划!G:G,"高")</f>
        <v/>
      </c>
      <c r="F8" s="25">
        <f>SUMPRODUCT((功能开发计划!A2:A33=A8)*ISNUMBER(功能开发计划!I2:I33)*功能开发计划!I2:I33)</f>
        <v/>
      </c>
    </row>
    <row r="9">
      <c r="A9" s="29" t="inlineStr">
        <is>
          <t>合计</t>
        </is>
      </c>
      <c r="B9" s="30">
        <f>SUM(B5:B8)</f>
        <v/>
      </c>
      <c r="C9" s="30">
        <f>SUM(C5:C8)</f>
        <v/>
      </c>
      <c r="D9" s="31">
        <f>IFERROR(C9/B9,0)</f>
        <v/>
      </c>
      <c r="E9" s="30">
        <f>SUM(E5:E8)</f>
        <v/>
      </c>
      <c r="F9" s="32">
        <f>SUM(F5:F8)</f>
        <v/>
      </c>
    </row>
    <row r="11" ht="32" customHeight="1">
      <c r="A11" s="29" t="inlineStr">
        <is>
          <t>整体完成率</t>
        </is>
      </c>
      <c r="B11" s="33">
        <f>TEXT(C9,"0")&amp;"/"&amp;TEXT(B9,"0")&amp;" ("&amp;TEXT(D9*100,"0.0")&amp;"%)"</f>
        <v/>
      </c>
    </row>
    <row r="12" ht="32" customHeight="1">
      <c r="A12" s="29" t="inlineStr">
        <is>
          <t>总投入人天（已交付）</t>
        </is>
      </c>
      <c r="B12" s="34">
        <f>SUMPRODUCT((功能开发计划!E2:E33="已发布")*ISNUMBER(功能开发计划!I2:I33)*功能开发计划!I2:I33)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60" customWidth="1" min="3" max="3"/>
  </cols>
  <sheetData>
    <row r="1" ht="28" customHeight="1">
      <c r="A1" s="20" t="inlineStr">
        <is>
          <t>按风险等级</t>
        </is>
      </c>
    </row>
    <row r="3" ht="24" customHeight="1">
      <c r="A3" s="1" t="inlineStr">
        <is>
          <t>风险等级</t>
        </is>
      </c>
      <c r="B3" s="1" t="inlineStr">
        <is>
          <t>数量（公式）</t>
        </is>
      </c>
      <c r="C3" s="1" t="inlineStr">
        <is>
          <t>涉及子项目</t>
        </is>
      </c>
    </row>
    <row r="4" ht="60" customHeight="1">
      <c r="A4" s="35" t="inlineStr">
        <is>
          <t>高</t>
        </is>
      </c>
      <c r="B4" s="36">
        <f>COUNTIF(功能开发计划!G:G,"高")</f>
        <v/>
      </c>
      <c r="C4" s="37">
        <f>TEXTJOIN("；",TRUE,IF(功能开发计划!G2:G33="高",功能开发计划!B2:B33,""))</f>
        <v/>
      </c>
    </row>
    <row r="5" ht="60" customHeight="1">
      <c r="A5" s="38" t="inlineStr">
        <is>
          <t>中</t>
        </is>
      </c>
      <c r="B5" s="36">
        <f>COUNTIF(功能开发计划!G:G,"中")</f>
        <v/>
      </c>
      <c r="C5" s="37">
        <f>TEXTJOIN("；",TRUE,IF(功能开发计划!G2:G33="中",功能开发计划!B2:B33,""))</f>
        <v/>
      </c>
    </row>
    <row r="6" ht="60" customHeight="1">
      <c r="A6" s="39" t="inlineStr">
        <is>
          <t>低</t>
        </is>
      </c>
      <c r="B6" s="36">
        <f>COUNTIF(功能开发计划!G:G,"低")</f>
        <v/>
      </c>
      <c r="C6" s="37">
        <f>TEXTJOIN("；",TRUE,IF(功能开发计划!G2:G33="低",功能开发计划!B2:B33,""))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</cols>
  <sheetData>
    <row r="1" ht="28" customHeight="1">
      <c r="A1" s="20" t="inlineStr">
        <is>
          <t>按负责人</t>
        </is>
      </c>
    </row>
    <row r="3" ht="24" customHeight="1">
      <c r="A3" s="1" t="inlineStr">
        <is>
          <t>负责人</t>
        </is>
      </c>
      <c r="B3" s="1" t="inlineStr">
        <is>
          <t>已交付</t>
        </is>
      </c>
      <c r="C3" s="1" t="inlineStr">
        <is>
          <t>待办</t>
        </is>
      </c>
      <c r="D3" s="1" t="inlineStr">
        <is>
          <t>总投入人天（已交付）</t>
        </is>
      </c>
    </row>
    <row r="4">
      <c r="A4" s="40" t="inlineStr">
        <is>
          <t>mavis</t>
        </is>
      </c>
      <c r="B4" s="23">
        <f>COUNTIFS(功能开发计划!H:H,"mavis",功能开发计划!E:E,"已发布")</f>
        <v/>
      </c>
      <c r="C4" s="23">
        <f>COUNTIFS(功能开发计划!H:H,"mavis",功能开发计划!E:E,"待办")</f>
        <v/>
      </c>
      <c r="D4" s="25">
        <f>SUMPRODUCT((功能开发计划!H2:H33="mavis")*(功能开发计划!E2:E33="已发布")*ISNUMBER(功能开发计划!I2:I33)*功能开发计划!I2:I33)</f>
        <v/>
      </c>
    </row>
    <row r="5">
      <c r="A5" s="41" t="inlineStr">
        <is>
          <t>阿达叔叔</t>
        </is>
      </c>
      <c r="B5" s="23">
        <f>COUNTIFS(功能开发计划!H:H,"阿达叔叔",功能开发计划!E:E,"已发布")</f>
        <v/>
      </c>
      <c r="C5" s="23">
        <f>COUNTIFS(功能开发计划!H:H,"阿达叔叔",功能开发计划!E:E,"待办")</f>
        <v/>
      </c>
      <c r="D5" s="25">
        <f>SUMPRODUCT((功能开发计划!H2:H33="阿达叔叔")*(功能开发计划!E2:E33="已发布")*ISNUMBER(功能开发计划!I2:I33)*功能开发计划!I2:I33)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2026-08-06T05:48:02Z</dcterms:created>
  <dcterms:modified xmlns:dcterms="http://purl.org/dc/terms/" xmlns:xsi="http://www.w3.org/2001/XMLSchema-instance" xsi:type="dcterms:W3CDTF">2026-08-06T05:59:57Z</dcterms:modified>
</cp:coreProperties>
</file>