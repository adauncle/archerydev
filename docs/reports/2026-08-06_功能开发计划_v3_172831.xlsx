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功能开发计划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按风险等级" sheetId="3" state="visible" r:id="rId3"/>
    <sheet xmlns:r="http://schemas.openxmlformats.org/officeDocument/2006/relationships" name="按负责人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7">
    <font>
      <name val="宋体"/>
      <charset val="134"/>
      <color theme="1"/>
      <sz val="11"/>
      <scheme val="minor"/>
    </font>
    <font>
      <name val="Calibri"/>
      <charset val="134"/>
      <b val="1"/>
      <color rgb="FF14171E"/>
      <sz val="14"/>
    </font>
    <font>
      <name val="Calibri"/>
      <charset val="134"/>
      <b val="1"/>
      <color rgb="FFFFFFFF"/>
      <sz val="11"/>
    </font>
    <font>
      <name val="Calibri"/>
      <charset val="134"/>
      <b val="1"/>
      <color rgb="FF2F6F5E"/>
      <sz val="10"/>
    </font>
    <font>
      <name val="Calibri"/>
      <charset val="134"/>
      <sz val="10"/>
    </font>
    <font>
      <name val="Calibri"/>
      <charset val="134"/>
      <b val="1"/>
      <color rgb="FF1F5B96"/>
      <sz val="10"/>
    </font>
    <font>
      <name val="Calibri"/>
      <charset val="134"/>
      <b val="1"/>
      <color rgb="FF9C0006"/>
      <sz val="10"/>
    </font>
    <font>
      <name val="Calibri"/>
      <charset val="134"/>
      <b val="1"/>
      <sz val="11"/>
    </font>
    <font>
      <name val="Calibri"/>
      <charset val="134"/>
      <color rgb="FF3A4256"/>
      <sz val="9"/>
    </font>
    <font>
      <name val="Calibri"/>
      <charset val="134"/>
      <b val="1"/>
      <color rgb="FF9C5700"/>
      <sz val="10"/>
    </font>
    <font>
      <name val="Calibri"/>
      <charset val="134"/>
      <b val="1"/>
      <color rgb="FF006100"/>
      <sz val="10"/>
    </font>
    <font>
      <name val="Calibri"/>
      <charset val="134"/>
      <b val="1"/>
      <color rgb="FF2F6F5E"/>
      <sz val="12"/>
    </font>
    <font>
      <name val="Calibri"/>
      <charset val="134"/>
      <b val="1"/>
      <sz val="10"/>
    </font>
    <font>
      <name val="Calibri"/>
      <charset val="134"/>
      <b val="1"/>
      <color rgb="FF2F6F5E"/>
      <sz val="16"/>
    </font>
    <font>
      <name val="Calibri"/>
      <charset val="134"/>
      <b val="1"/>
      <color rgb="FF1F5B96"/>
      <sz val="16"/>
    </font>
    <font>
      <name val="Calibri"/>
      <charset val="134"/>
      <b val="1"/>
      <color rgb="FF14171E"/>
      <sz val="10"/>
    </font>
    <font>
      <name val="Consolas"/>
      <charset val="134"/>
      <color rgb="FF3A4256"/>
      <sz val="9"/>
    </font>
    <font>
      <name val="宋体"/>
      <charset val="134"/>
      <b val="1"/>
      <color rgb="FF2F6F5E"/>
      <sz val="10"/>
    </font>
    <font>
      <name val="Calibri"/>
      <charset val="134"/>
      <color rgb="FF595959"/>
      <sz val="9"/>
    </font>
    <font>
      <name val="Calibri"/>
      <charset val="134"/>
      <color rgb="FF14171E"/>
      <sz val="9.5"/>
    </font>
    <font>
      <name val="Calibri"/>
      <charset val="134"/>
      <b val="1"/>
      <color rgb="FF1F3A5F"/>
      <sz val="9.5"/>
    </font>
    <font>
      <name val="Calibri"/>
      <charset val="134"/>
      <b val="1"/>
      <color rgb="FF9C2A00"/>
      <sz val="9.5"/>
    </font>
    <font>
      <name val="Calibri"/>
      <charset val="134"/>
      <b val="1"/>
      <color rgb="FF3A2E1F"/>
      <sz val="9.5"/>
    </font>
    <font>
      <name val="Calibri"/>
      <charset val="134"/>
      <b val="1"/>
      <color rgb="FF595959"/>
      <sz val="10"/>
    </font>
    <font>
      <name val="Calibri"/>
      <charset val="134"/>
      <b val="1"/>
      <i val="1"/>
      <color rgb="FFC00000"/>
      <sz val="10"/>
    </font>
    <font>
      <name val="宋体"/>
      <charset val="134"/>
      <b val="1"/>
      <color rgb="FF14171E"/>
      <sz val="10"/>
    </font>
    <font>
      <name val="Consolas"/>
      <charset val="134"/>
      <i val="1"/>
      <color rgb="FF9C57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b val="1"/>
      <color rgb="0014171E"/>
      <sz val="10"/>
    </font>
    <font>
      <name val="Calibri"/>
      <sz val="10"/>
    </font>
    <font>
      <name val="Calibri"/>
      <b val="1"/>
      <color rgb="009C5700"/>
      <sz val="10"/>
    </font>
    <font>
      <name val="Consolas"/>
      <i val="1"/>
      <color rgb="009C5700"/>
      <sz val="9"/>
    </font>
    <font>
      <name val="Calibri"/>
      <b val="1"/>
      <color rgb="00006100"/>
      <sz val="10"/>
    </font>
    <font>
      <name val="Calibri"/>
      <b val="1"/>
      <color rgb="002F6F5E"/>
      <sz val="10"/>
    </font>
    <font>
      <name val="Calibri"/>
      <b val="1"/>
      <color rgb="001F5B96"/>
      <sz val="10"/>
    </font>
    <font>
      <name val="Calibri"/>
      <color rgb="00595959"/>
      <sz val="9"/>
    </font>
    <font>
      <name val="Calibri"/>
      <color rgb="0014171E"/>
      <sz val="9.5"/>
    </font>
    <font>
      <name val="Consolas"/>
      <color rgb="003A4256"/>
      <sz val="9"/>
    </font>
    <font>
      <name val="Calibri"/>
      <b val="1"/>
      <color rgb="009C0006"/>
      <sz val="10"/>
    </font>
  </fonts>
  <fills count="56">
    <fill>
      <patternFill/>
    </fill>
    <fill>
      <patternFill patternType="gray125"/>
    </fill>
    <fill>
      <patternFill patternType="solid">
        <fgColor rgb="FF2F6F5E"/>
        <bgColor indexed="64"/>
      </patternFill>
    </fill>
    <fill>
      <patternFill patternType="solid">
        <fgColor rgb="FFE8F0ED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BF1E4"/>
        <bgColor indexed="64"/>
      </patternFill>
    </fill>
    <fill>
      <patternFill patternType="solid">
        <fgColor rgb="FFF2F0EA"/>
        <bgColor indexed="64"/>
      </patternFill>
    </fill>
    <fill>
      <patternFill patternType="solid">
        <fgColor rgb="FFFAF8F0"/>
        <bgColor indexed="64"/>
      </patternFill>
    </fill>
    <fill>
      <patternFill patternType="solid">
        <fgColor rgb="FFE5F0FA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D580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BF1E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8F0ED"/>
      </patternFill>
    </fill>
    <fill>
      <patternFill patternType="solid">
        <fgColor rgb="00EAF1F8"/>
      </patternFill>
    </fill>
    <fill>
      <patternFill patternType="solid">
        <fgColor rgb="00FFF4D6"/>
      </patternFill>
    </fill>
    <fill>
      <patternFill patternType="solid">
        <fgColor rgb="00FAF8F0"/>
      </patternFill>
    </fill>
    <fill>
      <patternFill patternType="solid">
        <fgColor rgb="00F2F0EA"/>
      </patternFill>
    </fill>
    <fill>
      <patternFill patternType="solid">
        <fgColor rgb="00FDEEEE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0" fillId="18" borderId="5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6" applyAlignment="1">
      <alignment vertical="center"/>
    </xf>
    <xf numFmtId="0" fontId="33" fillId="0" borderId="6" applyAlignment="1">
      <alignment vertical="center"/>
    </xf>
    <xf numFmtId="0" fontId="34" fillId="0" borderId="7" applyAlignment="1">
      <alignment vertical="center"/>
    </xf>
    <xf numFmtId="0" fontId="34" fillId="0" borderId="0" applyAlignment="1">
      <alignment vertical="center"/>
    </xf>
    <xf numFmtId="0" fontId="35" fillId="19" borderId="8" applyAlignment="1">
      <alignment vertical="center"/>
    </xf>
    <xf numFmtId="0" fontId="36" fillId="20" borderId="9" applyAlignment="1">
      <alignment vertical="center"/>
    </xf>
    <xf numFmtId="0" fontId="37" fillId="20" borderId="8" applyAlignment="1">
      <alignment vertical="center"/>
    </xf>
    <xf numFmtId="0" fontId="38" fillId="21" borderId="10" applyAlignment="1">
      <alignment vertical="center"/>
    </xf>
    <xf numFmtId="0" fontId="39" fillId="0" borderId="11" applyAlignment="1">
      <alignment vertical="center"/>
    </xf>
    <xf numFmtId="0" fontId="40" fillId="0" borderId="12" applyAlignment="1">
      <alignment vertical="center"/>
    </xf>
    <xf numFmtId="0" fontId="41" fillId="7" borderId="0" applyAlignment="1">
      <alignment vertical="center"/>
    </xf>
    <xf numFmtId="0" fontId="42" fillId="5" borderId="0" applyAlignment="1">
      <alignment vertical="center"/>
    </xf>
    <xf numFmtId="0" fontId="43" fillId="6" borderId="0" applyAlignment="1">
      <alignment vertical="center"/>
    </xf>
    <xf numFmtId="0" fontId="44" fillId="22" borderId="0" applyAlignment="1">
      <alignment vertical="center"/>
    </xf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4" fillId="25" borderId="0" applyAlignment="1">
      <alignment vertical="center"/>
    </xf>
    <xf numFmtId="0" fontId="44" fillId="26" borderId="0" applyAlignment="1">
      <alignment vertical="center"/>
    </xf>
    <xf numFmtId="0" fontId="45" fillId="27" borderId="0" applyAlignment="1">
      <alignment vertical="center"/>
    </xf>
    <xf numFmtId="0" fontId="45" fillId="28" borderId="0" applyAlignment="1">
      <alignment vertical="center"/>
    </xf>
    <xf numFmtId="0" fontId="44" fillId="29" borderId="0" applyAlignment="1">
      <alignment vertical="center"/>
    </xf>
    <xf numFmtId="0" fontId="44" fillId="30" borderId="0" applyAlignment="1">
      <alignment vertical="center"/>
    </xf>
    <xf numFmtId="0" fontId="45" fillId="31" borderId="0" applyAlignment="1">
      <alignment vertical="center"/>
    </xf>
    <xf numFmtId="0" fontId="45" fillId="32" borderId="0" applyAlignment="1">
      <alignment vertical="center"/>
    </xf>
    <xf numFmtId="0" fontId="44" fillId="33" borderId="0" applyAlignment="1">
      <alignment vertical="center"/>
    </xf>
    <xf numFmtId="0" fontId="44" fillId="34" borderId="0" applyAlignment="1">
      <alignment vertical="center"/>
    </xf>
    <xf numFmtId="0" fontId="45" fillId="35" borderId="0" applyAlignment="1">
      <alignment vertical="center"/>
    </xf>
    <xf numFmtId="0" fontId="45" fillId="36" borderId="0" applyAlignment="1">
      <alignment vertical="center"/>
    </xf>
    <xf numFmtId="0" fontId="44" fillId="37" borderId="0" applyAlignment="1">
      <alignment vertical="center"/>
    </xf>
    <xf numFmtId="0" fontId="44" fillId="38" borderId="0" applyAlignment="1">
      <alignment vertical="center"/>
    </xf>
    <xf numFmtId="0" fontId="45" fillId="39" borderId="0" applyAlignment="1">
      <alignment vertical="center"/>
    </xf>
    <xf numFmtId="0" fontId="45" fillId="40" borderId="0" applyAlignment="1">
      <alignment vertical="center"/>
    </xf>
    <xf numFmtId="0" fontId="44" fillId="41" borderId="0" applyAlignment="1">
      <alignment vertical="center"/>
    </xf>
    <xf numFmtId="0" fontId="44" fillId="42" borderId="0" applyAlignment="1">
      <alignment vertical="center"/>
    </xf>
    <xf numFmtId="0" fontId="45" fillId="43" borderId="0" applyAlignment="1">
      <alignment vertical="center"/>
    </xf>
    <xf numFmtId="0" fontId="45" fillId="44" borderId="0" applyAlignment="1">
      <alignment vertical="center"/>
    </xf>
    <xf numFmtId="0" fontId="44" fillId="45" borderId="0" applyAlignment="1">
      <alignment vertical="center"/>
    </xf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0" pivotButton="0" quotePrefix="0" xfId="0"/>
    <xf numFmtId="165" fontId="4" fillId="0" borderId="1" applyAlignment="1" pivotButton="0" quotePrefix="0" xfId="0">
      <alignment horizontal="center"/>
    </xf>
    <xf numFmtId="0" fontId="12" fillId="4" borderId="0" pivotButton="0" quotePrefix="0" xfId="0"/>
    <xf numFmtId="0" fontId="12" fillId="8" borderId="0" pivotButton="0" quotePrefix="0" xfId="0"/>
    <xf numFmtId="0" fontId="12" fillId="9" borderId="0" pivotButton="0" quotePrefix="0" xfId="0"/>
    <xf numFmtId="0" fontId="7" fillId="0" borderId="0" pivotButton="0" quotePrefix="0" xfId="0"/>
    <xf numFmtId="0" fontId="7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13" fillId="7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0" fontId="1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5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9" fillId="10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vertical="center" wrapText="1"/>
    </xf>
    <xf numFmtId="0" fontId="21" fillId="12" borderId="1" applyAlignment="1" pivotButton="0" quotePrefix="0" xfId="0">
      <alignment vertical="center" wrapText="1"/>
    </xf>
    <xf numFmtId="0" fontId="15" fillId="5" borderId="1" applyAlignment="1" pivotButton="0" quotePrefix="0" xfId="0">
      <alignment horizontal="center" vertical="center"/>
    </xf>
    <xf numFmtId="0" fontId="22" fillId="13" borderId="1" applyAlignment="1" pivotButton="0" quotePrefix="0" xfId="0">
      <alignment vertical="center" wrapText="1"/>
    </xf>
    <xf numFmtId="0" fontId="23" fillId="14" borderId="1" applyAlignment="1" pivotButton="0" quotePrefix="0" xfId="0">
      <alignment horizontal="center" vertical="center"/>
    </xf>
    <xf numFmtId="0" fontId="15" fillId="9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24" fillId="1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8" fillId="13" borderId="1" applyAlignment="1" pivotButton="0" quotePrefix="0" xfId="0">
      <alignment vertical="center" wrapText="1"/>
    </xf>
    <xf numFmtId="0" fontId="19" fillId="4" borderId="1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 wrapText="1"/>
    </xf>
    <xf numFmtId="0" fontId="21" fillId="16" borderId="1" applyAlignment="1" pivotButton="0" quotePrefix="0" xfId="0">
      <alignment vertical="center" wrapText="1"/>
    </xf>
    <xf numFmtId="0" fontId="15" fillId="4" borderId="3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25" fillId="8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18" fillId="17" borderId="1" applyAlignment="1" pivotButton="0" quotePrefix="0" xfId="0">
      <alignment vertical="center" wrapText="1"/>
    </xf>
    <xf numFmtId="0" fontId="25" fillId="8" borderId="3" applyAlignment="1" pivotButton="0" quotePrefix="0" xfId="0">
      <alignment horizontal="center" vertical="center" wrapText="1"/>
    </xf>
    <xf numFmtId="0" fontId="25" fillId="8" borderId="4" applyAlignment="1" pivotButton="0" quotePrefix="0" xfId="0">
      <alignment horizontal="center" vertical="center" wrapText="1"/>
    </xf>
    <xf numFmtId="0" fontId="46" fillId="46" borderId="14" applyAlignment="1" pivotButton="0" quotePrefix="0" xfId="0">
      <alignment vertical="center" wrapText="1"/>
    </xf>
    <xf numFmtId="0" fontId="47" fillId="0" borderId="14" applyAlignment="1" pivotButton="0" quotePrefix="0" xfId="0">
      <alignment vertical="center" wrapText="1"/>
    </xf>
    <xf numFmtId="0" fontId="47" fillId="0" borderId="14" applyAlignment="1" pivotButton="0" quotePrefix="0" xfId="0">
      <alignment horizontal="center" vertical="center"/>
    </xf>
    <xf numFmtId="0" fontId="46" fillId="47" borderId="14" applyAlignment="1" pivotButton="0" quotePrefix="0" xfId="0">
      <alignment horizontal="center" vertical="center"/>
    </xf>
    <xf numFmtId="0" fontId="48" fillId="48" borderId="14" applyAlignment="1" pivotButton="0" quotePrefix="0" xfId="0">
      <alignment horizontal="center" vertical="center"/>
    </xf>
    <xf numFmtId="0" fontId="49" fillId="0" borderId="14" applyAlignment="1" pivotButton="0" quotePrefix="0" xfId="0">
      <alignment horizontal="center" vertical="center"/>
    </xf>
    <xf numFmtId="0" fontId="50" fillId="49" borderId="14" applyAlignment="1" pivotButton="0" quotePrefix="0" xfId="0">
      <alignment horizontal="center" vertical="center"/>
    </xf>
    <xf numFmtId="0" fontId="51" fillId="50" borderId="14" applyAlignment="1" pivotButton="0" quotePrefix="0" xfId="0">
      <alignment horizontal="center" vertical="center"/>
    </xf>
    <xf numFmtId="0" fontId="52" fillId="51" borderId="14" applyAlignment="1" pivotButton="0" quotePrefix="0" xfId="0">
      <alignment horizontal="center" vertical="center"/>
    </xf>
    <xf numFmtId="0" fontId="53" fillId="52" borderId="14" applyAlignment="1" pivotButton="0" quotePrefix="0" xfId="0">
      <alignment vertical="center" wrapText="1"/>
    </xf>
    <xf numFmtId="0" fontId="54" fillId="53" borderId="14" applyAlignment="1" pivotButton="0" quotePrefix="0" xfId="0">
      <alignment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5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14" fillId="4" borderId="0" applyAlignment="1" pivotButton="0" quotePrefix="0" xfId="0">
      <alignment horizontal="center" vertical="center"/>
    </xf>
    <xf numFmtId="0" fontId="46" fillId="51" borderId="14" applyAlignment="1" pivotButton="0" quotePrefix="0" xfId="0">
      <alignment vertical="center" wrapText="1"/>
    </xf>
    <xf numFmtId="0" fontId="46" fillId="49" borderId="14" applyAlignment="1" pivotButton="0" quotePrefix="0" xfId="0">
      <alignment horizontal="center" vertical="center"/>
    </xf>
    <xf numFmtId="0" fontId="55" fillId="0" borderId="14" applyAlignment="1" pivotButton="0" quotePrefix="0" xfId="0">
      <alignment horizontal="center" vertical="center"/>
    </xf>
    <xf numFmtId="0" fontId="53" fillId="54" borderId="14" applyAlignment="1" pivotButton="0" quotePrefix="0" xfId="0">
      <alignment vertical="center" wrapText="1"/>
    </xf>
    <xf numFmtId="0" fontId="53" fillId="0" borderId="14" applyAlignment="1" pivotButton="0" quotePrefix="0" xfId="0">
      <alignment vertical="center" wrapText="1"/>
    </xf>
    <xf numFmtId="0" fontId="56" fillId="47" borderId="14" applyAlignment="1" pivotButton="0" quotePrefix="0" xfId="0">
      <alignment horizontal="center" vertical="center"/>
    </xf>
    <xf numFmtId="0" fontId="46" fillId="50" borderId="14" applyAlignment="1" pivotButton="0" quotePrefix="0" xfId="0">
      <alignment vertical="center" wrapText="1"/>
    </xf>
    <xf numFmtId="0" fontId="46" fillId="55" borderId="14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tabSelected="1" workbookViewId="0">
      <pane xSplit="2" ySplit="1" topLeftCell="C29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9" defaultRowHeight="13.5"/>
  <cols>
    <col width="16" customWidth="1" min="1" max="1"/>
    <col width="36" customWidth="1" min="2" max="2"/>
    <col width="14" customWidth="1" min="3" max="3"/>
    <col width="8" customWidth="1" min="4" max="5"/>
    <col width="12" customWidth="1" min="6" max="6"/>
    <col width="9" customWidth="1" min="7" max="7"/>
    <col width="12" customWidth="1" min="8" max="8"/>
    <col width="8" customWidth="1" min="9" max="9"/>
    <col width="22" customWidth="1" min="10" max="10"/>
    <col width="52" customWidth="1" min="11" max="11"/>
  </cols>
  <sheetData>
    <row r="1" ht="32" customHeight="1">
      <c r="A1" s="2" t="inlineStr">
        <is>
          <t>主功能</t>
        </is>
      </c>
      <c r="B1" s="2" t="inlineStr">
        <is>
          <t>子项目</t>
        </is>
      </c>
      <c r="C1" s="2" t="inlineStr">
        <is>
          <t>完成时间</t>
        </is>
      </c>
      <c r="D1" s="2" t="inlineStr">
        <is>
          <t>完成
进度</t>
        </is>
      </c>
      <c r="E1" s="2" t="inlineStr">
        <is>
          <t>状态</t>
        </is>
      </c>
      <c r="F1" s="2" t="inlineStr">
        <is>
          <t>关键
commit</t>
        </is>
      </c>
      <c r="G1" s="2" t="inlineStr">
        <is>
          <t>风险
等级</t>
        </is>
      </c>
      <c r="H1" s="2" t="inlineStr">
        <is>
          <t>负责人</t>
        </is>
      </c>
      <c r="I1" s="2" t="inlineStr">
        <is>
          <t>投入
人天</t>
        </is>
      </c>
      <c r="J1" s="2" t="inlineStr">
        <is>
          <t>备注</t>
        </is>
      </c>
      <c r="K1" s="2" t="inlineStr">
        <is>
          <t>功能说明（场景 / 怎么用）</t>
        </is>
      </c>
    </row>
    <row r="2" ht="48" customHeight="1">
      <c r="A2" s="24" t="inlineStr">
        <is>
          <t>平台基础</t>
        </is>
      </c>
      <c r="B2" s="25" t="inlineStr">
        <is>
          <t>上游 v1.14.0 合并 + 7 个 MR patch</t>
        </is>
      </c>
      <c r="C2" s="25" t="inlineStr">
        <is>
          <t>2026-07-21</t>
        </is>
      </c>
      <c r="D2" s="26" t="inlineStr">
        <is>
          <t>100%</t>
        </is>
      </c>
      <c r="E2" s="27" t="inlineStr">
        <is>
          <t>已发布</t>
        </is>
      </c>
      <c r="F2" s="28" t="inlineStr">
        <is>
          <t>2ddd91a</t>
        </is>
      </c>
      <c r="G2" s="27" t="inlineStr">
        <is>
          <t>低</t>
        </is>
      </c>
      <c r="H2" s="29" t="inlineStr">
        <is>
          <t>马克群</t>
        </is>
      </c>
      <c r="I2" s="30" t="inlineStr">
        <is>
          <t>0.5</t>
        </is>
      </c>
      <c r="J2" s="31" t="inlineStr">
        <is>
          <t>基线版本，3 套环境脚手架</t>
        </is>
      </c>
      <c r="K2" s="32" t="inlineStr">
        <is>
          <t>【场景】公司 DBA 团队需要 SQL 审核 + 工单流平台；【使用】部署后默认进入 Archery 主界面，业务开发走标准 SQL 上线流程。</t>
        </is>
      </c>
    </row>
    <row r="3" ht="48" customHeight="1">
      <c r="A3" s="25" t="inlineStr"/>
      <c r="B3" s="25" t="inlineStr">
        <is>
          <t>134 dev / 110 prod / staging 初始化</t>
        </is>
      </c>
      <c r="C3" s="25" t="inlineStr">
        <is>
          <t>2026-07-21</t>
        </is>
      </c>
      <c r="D3" s="26" t="inlineStr">
        <is>
          <t>100%</t>
        </is>
      </c>
      <c r="E3" s="27" t="inlineStr">
        <is>
          <t>已发布</t>
        </is>
      </c>
      <c r="F3" s="28" t="inlineStr">
        <is>
          <t>—</t>
        </is>
      </c>
      <c r="G3" s="27" t="inlineStr">
        <is>
          <t>低</t>
        </is>
      </c>
      <c r="H3" s="29" t="inlineStr">
        <is>
          <t>马克群</t>
        </is>
      </c>
      <c r="I3" s="30" t="inlineStr">
        <is>
          <t>0.5</t>
        </is>
      </c>
      <c r="J3" s="31" t="inlineStr">
        <is>
          <t>dev=9003 / prod=9123，裸机 systemd</t>
        </is>
      </c>
      <c r="K3" s="33" t="inlineStr">
        <is>
          <t>【场景】3 套环境隔离，代码不直接动生产；【使用】每套独立 .env + systemd unit，promote_110.sh 跨环境发布。</t>
        </is>
      </c>
    </row>
    <row r="4" ht="48" customHeight="1">
      <c r="A4" s="25" t="inlineStr"/>
      <c r="B4" s="25" t="inlineStr">
        <is>
          <t>dev 部署迭代 v0.1.1 ~ v0.1.9</t>
        </is>
      </c>
      <c r="C4" s="25" t="inlineStr">
        <is>
          <t>2026-07-22 ~ 07-30</t>
        </is>
      </c>
      <c r="D4" s="26" t="inlineStr">
        <is>
          <t>100%</t>
        </is>
      </c>
      <c r="E4" s="27" t="inlineStr">
        <is>
          <t>已发布</t>
        </is>
      </c>
      <c r="F4" s="28" t="inlineStr">
        <is>
          <t>8 个 commit</t>
        </is>
      </c>
      <c r="G4" s="27" t="inlineStr">
        <is>
          <t>低</t>
        </is>
      </c>
      <c r="H4" s="29" t="inlineStr">
        <is>
          <t>马克群</t>
        </is>
      </c>
      <c r="I4" s="30" t="inlineStr">
        <is>
          <t>2</t>
        </is>
      </c>
      <c r="J4" s="31" t="inlineStr">
        <is>
          <t>systemd 化、qcluster 配置、ARCHERY_LOG_LEVEL</t>
        </is>
      </c>
      <c r="K4" s="33" t="inlineStr">
        <is>
          <t>【场景】dev 从手工启服务到稳定 systemd；【使用】systemctl start archery-prod-gunicorn / archery-prod-qcluster，journalctl -u 看日志。</t>
        </is>
      </c>
    </row>
    <row r="5" ht="48" customHeight="1">
      <c r="A5" s="25" t="inlineStr"/>
      <c r="B5" s="25" t="inlineStr">
        <is>
          <t>134/110 拓扑原则定</t>
        </is>
      </c>
      <c r="C5" s="25" t="inlineStr">
        <is>
          <t>2026-08-03</t>
        </is>
      </c>
      <c r="D5" s="26" t="inlineStr">
        <is>
          <t>100%</t>
        </is>
      </c>
      <c r="E5" s="27" t="inlineStr">
        <is>
          <t>已发布</t>
        </is>
      </c>
      <c r="F5" s="28" t="inlineStr">
        <is>
          <t>—</t>
        </is>
      </c>
      <c r="G5" s="27" t="inlineStr">
        <is>
          <t>低</t>
        </is>
      </c>
      <c r="H5" s="29" t="inlineStr">
        <is>
          <t>马克群</t>
        </is>
      </c>
      <c r="I5" s="30" t="inlineStr">
        <is>
          <t>0.1</t>
        </is>
      </c>
      <c r="J5" s="31" t="inlineStr">
        <is>
          <t>134=DEV / 110=PROD</t>
        </is>
      </c>
      <c r="K5" s="33" t="inlineStr">
        <is>
          <t>【场景】防止误操作生产；【使用】dev 验证通过才推 prod，110 prod 仅手动 ssh 介入。</t>
        </is>
      </c>
    </row>
    <row r="6" ht="48" customHeight="1">
      <c r="A6" s="25" t="inlineStr"/>
      <c r="B6" s="25" t="inlineStr">
        <is>
          <t>promote_110.sh 发布脚本</t>
        </is>
      </c>
      <c r="C6" s="25" t="inlineStr">
        <is>
          <t>2026-08-04</t>
        </is>
      </c>
      <c r="D6" s="26" t="inlineStr">
        <is>
          <t>100%</t>
        </is>
      </c>
      <c r="E6" s="27" t="inlineStr">
        <is>
          <t>已发布</t>
        </is>
      </c>
      <c r="F6" s="28" t="inlineStr">
        <is>
          <t>c9236a0</t>
        </is>
      </c>
      <c r="G6" s="27" t="inlineStr">
        <is>
          <t>低</t>
        </is>
      </c>
      <c r="H6" s="29" t="inlineStr">
        <is>
          <t>马克群</t>
        </is>
      </c>
      <c r="I6" s="30" t="inlineStr">
        <is>
          <t>0.5</t>
        </is>
      </c>
      <c r="J6" s="31" t="inlineStr">
        <is>
          <t>5 phase 发布脚本</t>
        </is>
      </c>
      <c r="K6" s="33" t="inlineStr">
        <is>
          <t>【场景】134 dev 验证完要一键推到 110 prod；【使用】在 134 上跑 ./scripts/promote_110.sh &lt;commit-hash&gt;，自动 backup + fetch + adapt + deploy。</t>
        </is>
      </c>
    </row>
    <row r="7" ht="48" customHeight="1">
      <c r="A7" s="34" t="inlineStr">
        <is>
          <t>钉钉 OA 集成</t>
        </is>
      </c>
      <c r="B7" s="25" t="inlineStr">
        <is>
          <t>驱动可插拔架构（audit_driver 路由）</t>
        </is>
      </c>
      <c r="C7" s="25" t="inlineStr">
        <is>
          <t>2026-08-04</t>
        </is>
      </c>
      <c r="D7" s="26" t="inlineStr">
        <is>
          <t>100%</t>
        </is>
      </c>
      <c r="E7" s="27" t="inlineStr">
        <is>
          <t>已发布</t>
        </is>
      </c>
      <c r="F7" s="28" t="inlineStr">
        <is>
          <t>abe7f66</t>
        </is>
      </c>
      <c r="G7" s="27" t="inlineStr">
        <is>
          <t>低</t>
        </is>
      </c>
      <c r="H7" s="29" t="inlineStr">
        <is>
          <t>马克群</t>
        </is>
      </c>
      <c r="I7" s="30" t="inlineStr">
        <is>
          <t>0.5</t>
        </is>
      </c>
      <c r="J7" s="31" t="inlineStr">
        <is>
          <t>audit_driver 可扩展</t>
        </is>
      </c>
      <c r="K7" s="33" t="inlineStr">
        <is>
          <t>【场景】未来想接入企业微信 OA / 飞书审批不用改核心；【使用】DRIVER_REGISTRY 注册新 driver，admin 配置 flow.audit_driver 选新值即可。</t>
        </is>
      </c>
    </row>
    <row r="8" ht="48" customHeight="1">
      <c r="A8" s="25" t="inlineStr"/>
      <c r="B8" s="25" t="inlineStr">
        <is>
          <t>3D policy matching 策略匹配</t>
        </is>
      </c>
      <c r="C8" s="25" t="inlineStr">
        <is>
          <t>2026-08-04</t>
        </is>
      </c>
      <c r="D8" s="26" t="inlineStr">
        <is>
          <t>100%</t>
        </is>
      </c>
      <c r="E8" s="27" t="inlineStr">
        <is>
          <t>已发布</t>
        </is>
      </c>
      <c r="F8" s="28" t="inlineStr">
        <is>
          <t>abe7f66</t>
        </is>
      </c>
      <c r="G8" s="27" t="inlineStr">
        <is>
          <t>低</t>
        </is>
      </c>
      <c r="H8" s="29" t="inlineStr">
        <is>
          <t>马克群</t>
        </is>
      </c>
      <c r="I8" s="30" t="inlineStr">
        <is>
          <t>0.5</t>
        </is>
      </c>
      <c r="J8" s="31" t="inlineStr">
        <is>
          <t>SQL 类型∧核心表∧行数</t>
        </is>
      </c>
      <c r="K8" s="32" t="inlineStr">
        <is>
          <t>【场景】不同 SQL 类型 + 不同业务表 + 不同行数走不同审批；【使用】admin 维护 ext_approval_policy 多条规则，按 priority 倒序匹配。</t>
        </is>
      </c>
    </row>
    <row r="9" ht="48" customHeight="1">
      <c r="A9" s="25" t="inlineStr"/>
      <c r="B9" s="25" t="inlineStr">
        <is>
          <t>handle_oa_callback 核心（幂等去重）</t>
        </is>
      </c>
      <c r="C9" s="25" t="inlineStr">
        <is>
          <t>2026-08-04</t>
        </is>
      </c>
      <c r="D9" s="26" t="inlineStr">
        <is>
          <t>100%</t>
        </is>
      </c>
      <c r="E9" s="27" t="inlineStr">
        <is>
          <t>已发布</t>
        </is>
      </c>
      <c r="F9" s="28" t="inlineStr">
        <is>
          <t>abe7f66</t>
        </is>
      </c>
      <c r="G9" s="27" t="inlineStr">
        <is>
          <t>低</t>
        </is>
      </c>
      <c r="H9" s="29" t="inlineStr">
        <is>
          <t>马克群</t>
        </is>
      </c>
      <c r="I9" s="30" t="inlineStr">
        <is>
          <t>0.5</t>
        </is>
      </c>
      <c r="J9" s="31" t="inlineStr">
        <is>
          <t>select_for_update + 验签</t>
        </is>
      </c>
      <c r="K9" s="33" t="inlineStr">
        <is>
          <t>【场景】钉钉侧审批结果自动回写到 Archery 状态；【使用】钉钉推送 → /dingtalk/oa/callback → 自动推进工单 + 写 WorkflowAuditDetail。</t>
        </is>
      </c>
    </row>
    <row r="10" ht="48" customHeight="1">
      <c r="A10" s="25" t="inlineStr"/>
      <c r="B10" s="25" t="inlineStr">
        <is>
          <t>1对1 通知端到端跑通</t>
        </is>
      </c>
      <c r="C10" s="25" t="inlineStr">
        <is>
          <t>2026-08-04</t>
        </is>
      </c>
      <c r="D10" s="26" t="inlineStr">
        <is>
          <t>100%</t>
        </is>
      </c>
      <c r="E10" s="27" t="inlineStr">
        <is>
          <t>已发布</t>
        </is>
      </c>
      <c r="F10" s="28" t="inlineStr">
        <is>
          <t>abe7f66</t>
        </is>
      </c>
      <c r="G10" s="27" t="inlineStr">
        <is>
          <t>低</t>
        </is>
      </c>
      <c r="H10" s="29" t="inlineStr">
        <is>
          <t>马克群</t>
        </is>
      </c>
      <c r="I10" s="30" t="inlineStr">
        <is>
          <t>0.3</t>
        </is>
      </c>
      <c r="J10" s="31" t="inlineStr">
        <is>
          <t>workflow_id=4 真跑通</t>
        </is>
      </c>
      <c r="K10" s="32" t="inlineStr">
        <is>
          <t>【场景】审批人变更时主动通知；【使用】dingtalk_oa driver 自动调钉钉 Open API 推 1对1 消息，业务方无需手动。</t>
        </is>
      </c>
    </row>
    <row r="11" ht="48" customHeight="1">
      <c r="A11" s="25" t="inlineStr"/>
      <c r="B11" s="25" t="inlineStr">
        <is>
          <t>v0.2.0 推到 110 prod</t>
        </is>
      </c>
      <c r="C11" s="25" t="inlineStr">
        <is>
          <t>2026-08-04</t>
        </is>
      </c>
      <c r="D11" s="26" t="inlineStr">
        <is>
          <t>100%</t>
        </is>
      </c>
      <c r="E11" s="27" t="inlineStr">
        <is>
          <t>已发布</t>
        </is>
      </c>
      <c r="F11" s="28" t="inlineStr">
        <is>
          <t>c9236a0</t>
        </is>
      </c>
      <c r="G11" s="35" t="inlineStr">
        <is>
          <t>中</t>
        </is>
      </c>
      <c r="H11" s="29" t="inlineStr">
        <is>
          <t>马克群</t>
        </is>
      </c>
      <c r="I11" s="30" t="inlineStr">
        <is>
          <t>1</t>
        </is>
      </c>
      <c r="J11" s="31" t="inlineStr">
        <is>
          <t>gunicorn pid 102228 + 4 workers</t>
        </is>
      </c>
      <c r="K11" s="33" t="inlineStr">
        <is>
          <t>【场景】134 dev 验证完成，要给生产用上钉钉 OA 框架；【使用】promote_110.sh + 110 .env 启用 OA，admin 维护流程。</t>
        </is>
      </c>
    </row>
    <row r="12" ht="48" customHeight="1">
      <c r="A12" s="25" t="inlineStr"/>
      <c r="B12" s="25" t="inlineStr">
        <is>
          <t>110 启用 OA 框架（published-not-enabled）</t>
        </is>
      </c>
      <c r="C12" s="25" t="inlineStr">
        <is>
          <t>2026-08-04 21:22</t>
        </is>
      </c>
      <c r="D12" s="26" t="inlineStr">
        <is>
          <t>100%</t>
        </is>
      </c>
      <c r="E12" s="27" t="inlineStr">
        <is>
          <t>已发布</t>
        </is>
      </c>
      <c r="F12" s="28" t="inlineStr">
        <is>
          <t>—</t>
        </is>
      </c>
      <c r="G12" s="27" t="inlineStr">
        <is>
          <t>低</t>
        </is>
      </c>
      <c r="H12" s="29" t="inlineStr">
        <is>
          <t>马克群</t>
        </is>
      </c>
      <c r="I12" s="30" t="inlineStr">
        <is>
          <t>0.2</t>
        </is>
      </c>
      <c r="J12" s="31" t="inlineStr">
        <is>
          <t>框架就绪、暂不启用</t>
        </is>
      </c>
      <c r="K12" s="33" t="inlineStr">
        <is>
          <t>【场景】110 prod 先上框架、暂不启用；【使用】admin 维护 ext_approval_flow / policy，把 audit_driver 切到 dingtalk_oa 即可启用。</t>
        </is>
      </c>
    </row>
    <row r="13" ht="48" customHeight="1">
      <c r="A13" s="36" t="inlineStr">
        <is>
          <t>gh-ost 无锁 DDL</t>
        </is>
      </c>
      <c r="B13" s="25" t="inlineStr">
        <is>
          <t>设计文档（12 章节）</t>
        </is>
      </c>
      <c r="C13" s="25" t="inlineStr">
        <is>
          <t>2026-08-05</t>
        </is>
      </c>
      <c r="D13" s="26" t="inlineStr">
        <is>
          <t>100%</t>
        </is>
      </c>
      <c r="E13" s="27" t="inlineStr">
        <is>
          <t>已发布</t>
        </is>
      </c>
      <c r="F13" s="28" t="inlineStr">
        <is>
          <t>df90b37</t>
        </is>
      </c>
      <c r="G13" s="27" t="inlineStr">
        <is>
          <t>低</t>
        </is>
      </c>
      <c r="H13" s="29" t="inlineStr">
        <is>
          <t>马克群</t>
        </is>
      </c>
      <c r="I13" s="30" t="inlineStr">
        <is>
          <t>0.2</t>
        </is>
      </c>
      <c r="J13" s="31" t="inlineStr">
        <is>
          <t>docs/designs/...html</t>
        </is>
      </c>
      <c r="K13" s="33" t="inlineStr">
        <is>
          <t>【场景】v0.3.0 要做什么 / 不做什么团队对齐；【使用】浏览器打开 docs/designs/2026-08-05_gh-ost-product-design.html，含场景、流程、验收标准。</t>
        </is>
      </c>
    </row>
    <row r="14" ht="48" customHeight="1">
      <c r="A14" s="25" t="inlineStr"/>
      <c r="B14" s="25" t="inlineStr">
        <is>
          <t>gh-ost v1.1.10 二进制装到 134 dev</t>
        </is>
      </c>
      <c r="C14" s="25" t="inlineStr">
        <is>
          <t>2026-08-05</t>
        </is>
      </c>
      <c r="D14" s="26" t="inlineStr">
        <is>
          <t>100%</t>
        </is>
      </c>
      <c r="E14" s="27" t="inlineStr">
        <is>
          <t>已发布</t>
        </is>
      </c>
      <c r="F14" s="28" t="inlineStr">
        <is>
          <t>—</t>
        </is>
      </c>
      <c r="G14" s="27" t="inlineStr">
        <is>
          <t>低</t>
        </is>
      </c>
      <c r="H14" s="29" t="inlineStr">
        <is>
          <t>马克群</t>
        </is>
      </c>
      <c r="I14" s="30" t="inlineStr">
        <is>
          <t>0.2</t>
        </is>
      </c>
      <c r="J14" s="31" t="inlineStr">
        <is>
          <t>/usr/local/bin/gh-ost</t>
        </is>
      </c>
      <c r="K14" s="32" t="inlineStr">
        <is>
          <t>【场景】dev 环境演练无锁 DDL；【使用】gh-ost --version 验证 v1.1.10；后续 Archery 调它时走 settings.CUSTOM_GH_OST_BIN。</t>
        </is>
      </c>
    </row>
    <row r="15" ht="48" customHeight="1">
      <c r="A15" s="25" t="inlineStr"/>
      <c r="B15" s="25" t="inlineStr">
        <is>
          <t>v0.3.0-alpha：ext_ddl_ghost_task 表 + admin</t>
        </is>
      </c>
      <c r="C15" s="25" t="inlineStr">
        <is>
          <t>2026-08-06 上午</t>
        </is>
      </c>
      <c r="D15" s="26" t="inlineStr">
        <is>
          <t>100%</t>
        </is>
      </c>
      <c r="E15" s="27" t="inlineStr">
        <is>
          <t>已发布</t>
        </is>
      </c>
      <c r="F15" s="28" t="inlineStr">
        <is>
          <t>4f34a81</t>
        </is>
      </c>
      <c r="G15" s="27" t="inlineStr">
        <is>
          <t>低</t>
        </is>
      </c>
      <c r="H15" s="29" t="inlineStr">
        <is>
          <t>马克群</t>
        </is>
      </c>
      <c r="I15" s="30" t="inlineStr">
        <is>
          <t>0.5</t>
        </is>
      </c>
      <c r="J15" s="31" t="inlineStr">
        <is>
          <t>状态机 + 进度字段</t>
        </is>
      </c>
      <c r="K15" s="33" t="inlineStr">
        <is>
          <t>【场景】gh-ost 任务需要持久化记录 + admin 可查；【使用】admin → 扩展表 → gh-ost 任务，能看每条 task 的状态/进度/进程/错误。</t>
        </is>
      </c>
    </row>
    <row r="16" ht="48" customHeight="1">
      <c r="A16" s="25" t="inlineStr"/>
      <c r="B16" s="25" t="inlineStr">
        <is>
          <t>v0.3.0-alpha：预检查 5 道（binlog/disk/privs/sql/table_type）</t>
        </is>
      </c>
      <c r="C16" s="25" t="inlineStr">
        <is>
          <t>2026-08-06 上午</t>
        </is>
      </c>
      <c r="D16" s="26" t="inlineStr">
        <is>
          <t>100%</t>
        </is>
      </c>
      <c r="E16" s="27" t="inlineStr">
        <is>
          <t>已发布</t>
        </is>
      </c>
      <c r="F16" s="28" t="inlineStr">
        <is>
          <t>4f34a81</t>
        </is>
      </c>
      <c r="G16" s="27" t="inlineStr">
        <is>
          <t>低</t>
        </is>
      </c>
      <c r="H16" s="29" t="inlineStr">
        <is>
          <t>马克群</t>
        </is>
      </c>
      <c r="I16" s="30" t="inlineStr">
        <is>
          <t>0.5</t>
        </is>
      </c>
      <c r="J16" s="31" t="inlineStr">
        <is>
          <t>只读检查</t>
        </is>
      </c>
      <c r="K16" s="33" t="inlineStr">
        <is>
          <t>【场景】防止 gh-ost 跑挂了（binlog 不对、磁盘不够、权限缺、SQL 不合法、源表不对）；【使用】业务方勾"启用 gh-ost"时自动跑，5/5 PASS 才允许起进程。</t>
        </is>
      </c>
    </row>
    <row r="17" ht="48" customHeight="1">
      <c r="A17" s="25" t="inlineStr"/>
      <c r="B17" s="25" t="inlineStr">
        <is>
          <t>v0.3.0-alpha：6 个 endpoint + 进度面板</t>
        </is>
      </c>
      <c r="C17" s="25" t="inlineStr">
        <is>
          <t>2026-08-06 上午</t>
        </is>
      </c>
      <c r="D17" s="26" t="inlineStr">
        <is>
          <t>100%</t>
        </is>
      </c>
      <c r="E17" s="27" t="inlineStr">
        <is>
          <t>已发布</t>
        </is>
      </c>
      <c r="F17" s="28" t="inlineStr">
        <is>
          <t>4f34a81</t>
        </is>
      </c>
      <c r="G17" s="27" t="inlineStr">
        <is>
          <t>低</t>
        </is>
      </c>
      <c r="H17" s="29" t="inlineStr">
        <is>
          <t>马克群</t>
        </is>
      </c>
      <c r="I17" s="30" t="inlineStr">
        <is>
          <t>0.5</t>
        </is>
      </c>
      <c r="J17" s="31" t="inlineStr">
        <is>
          <t>precheck/enable/start/cancel/status/progress</t>
        </is>
      </c>
      <c r="K17" s="33" t="inlineStr">
        <is>
          <t>【场景】前后端交互 + 业务方看迁移进度；【使用】POST /gh_ost/{action}/&lt;wf_id&gt;/ 触发；GET /gh_ost/progress/&lt;wf_id&gt;/ 看可视化进度面板（3s 自动刷新）。</t>
        </is>
      </c>
    </row>
    <row r="18" ht="48" customHeight="1">
      <c r="A18" s="25" t="inlineStr"/>
      <c r="B18" s="25" t="inlineStr">
        <is>
          <t>v0.3.0-alpha：端到端跑通 4 个 bug 修复</t>
        </is>
      </c>
      <c r="C18" s="25" t="inlineStr">
        <is>
          <t>2026-08-06 上午</t>
        </is>
      </c>
      <c r="D18" s="26" t="inlineStr">
        <is>
          <t>100%</t>
        </is>
      </c>
      <c r="E18" s="27" t="inlineStr">
        <is>
          <t>已发布</t>
        </is>
      </c>
      <c r="F18" s="28" t="inlineStr">
        <is>
          <t>c0f42b3</t>
        </is>
      </c>
      <c r="G18" s="27" t="inlineStr">
        <is>
          <t>低</t>
        </is>
      </c>
      <c r="H18" s="29" t="inlineStr">
        <is>
          <t>马克群</t>
        </is>
      </c>
      <c r="I18" s="30" t="inlineStr">
        <is>
          <t>0.3</t>
        </is>
      </c>
      <c r="J18" s="31" t="inlineStr">
        <is>
          <t>4 bug</t>
        </is>
      </c>
      <c r="K18" s="33" t="inlineStr">
        <is>
          <t>【场景】alpha 端到端要跑通；【使用】用户无感，自动修复 SqlWorkflowContent OneToOne / PARTITION_NAME 列名 / ENGINE 大小写 / .env 兜底直连。</t>
        </is>
      </c>
    </row>
    <row r="19" ht="48" customHeight="1">
      <c r="A19" s="25" t="inlineStr"/>
      <c r="B19" s="25" t="inlineStr">
        <is>
          <t>v0.3.0-beta：真启 gh-ost 子进程（runner.py）</t>
        </is>
      </c>
      <c r="C19" s="25" t="inlineStr">
        <is>
          <t>2026-08-06 下午</t>
        </is>
      </c>
      <c r="D19" s="26" t="inlineStr">
        <is>
          <t>100%</t>
        </is>
      </c>
      <c r="E19" s="27" t="inlineStr">
        <is>
          <t>已发布</t>
        </is>
      </c>
      <c r="F19" s="28" t="inlineStr">
        <is>
          <t>2c5a0b7</t>
        </is>
      </c>
      <c r="G19" s="27" t="inlineStr">
        <is>
          <t>低</t>
        </is>
      </c>
      <c r="H19" s="29" t="inlineStr">
        <is>
          <t>马克群</t>
        </is>
      </c>
      <c r="I19" s="30" t="inlineStr">
        <is>
          <t>0.3</t>
        </is>
      </c>
      <c r="J19" s="31" t="inlineStr">
        <is>
          <t>Popen + nohup</t>
        </is>
      </c>
      <c r="K19" s="37" t="inlineStr">
        <is>
          <t>【场景】业务方提交 ALTER TABLE 工单要真改表；【使用】业务方在工单详情勾选 gh-ost → 5/5 PASS → DBA admin 点"启动"。</t>
        </is>
      </c>
    </row>
    <row r="20" ht="48" customHeight="1">
      <c r="A20" s="25" t="inlineStr"/>
      <c r="B20" s="25" t="inlineStr">
        <is>
          <t>v0.3.0-beta：stdout 解析器（parser.py）</t>
        </is>
      </c>
      <c r="C20" s="25" t="inlineStr">
        <is>
          <t>2026-08-06 下午</t>
        </is>
      </c>
      <c r="D20" s="26" t="inlineStr">
        <is>
          <t>100%</t>
        </is>
      </c>
      <c r="E20" s="27" t="inlineStr">
        <is>
          <t>已发布</t>
        </is>
      </c>
      <c r="F20" s="28" t="inlineStr">
        <is>
          <t>2c5a0b7</t>
        </is>
      </c>
      <c r="G20" s="27" t="inlineStr">
        <is>
          <t>低</t>
        </is>
      </c>
      <c r="H20" s="29" t="inlineStr">
        <is>
          <t>马克群</t>
        </is>
      </c>
      <c r="I20" s="30" t="inlineStr">
        <is>
          <t>0.3</t>
        </is>
      </c>
      <c r="J20" s="31" t="inlineStr">
        <is>
          <t>1.1.10 输出兼容</t>
        </is>
      </c>
      <c r="K20" s="33" t="inlineStr">
        <is>
          <t>【场景】gh-ost 进程输出要可视化；【使用】poller 自动每 3s 解析 log → 写 task.progress_* → 进度面板实时更新。</t>
        </is>
      </c>
    </row>
    <row r="21" ht="48" customHeight="1">
      <c r="A21" s="25" t="inlineStr"/>
      <c r="B21" s="25" t="inlineStr">
        <is>
          <t>v0.3.0-beta：状态机自动推进（poller.py）</t>
        </is>
      </c>
      <c r="C21" s="25" t="inlineStr">
        <is>
          <t>2026-08-06 下午</t>
        </is>
      </c>
      <c r="D21" s="26" t="inlineStr">
        <is>
          <t>100%</t>
        </is>
      </c>
      <c r="E21" s="27" t="inlineStr">
        <is>
          <t>已发布</t>
        </is>
      </c>
      <c r="F21" s="28" t="inlineStr">
        <is>
          <t>2c5a0b7</t>
        </is>
      </c>
      <c r="G21" s="27" t="inlineStr">
        <is>
          <t>低</t>
        </is>
      </c>
      <c r="H21" s="29" t="inlineStr">
        <is>
          <t>马克群</t>
        </is>
      </c>
      <c r="I21" s="30" t="inlineStr">
        <is>
          <t>0.5</t>
        </is>
      </c>
      <c r="J21" s="31" t="inlineStr">
        <is>
          <t>3s 轮询</t>
        </is>
      </c>
      <c r="K21" s="33" t="inlineStr">
        <is>
          <t>【场景】gh-ost 跑完后状态要自动切到 success/failed；【使用】poller 检测进程死亡 + 解析 log 末尾 → 自动 _finalize_task 写终态。</t>
        </is>
      </c>
    </row>
    <row r="22" ht="48" customHeight="1">
      <c r="A22" s="25" t="inlineStr"/>
      <c r="B22" s="25" t="inlineStr">
        <is>
          <t>v0.3.0-beta：admin cancel / retry / rollback 3 action</t>
        </is>
      </c>
      <c r="C22" s="25" t="inlineStr">
        <is>
          <t>2026-08-06 下午</t>
        </is>
      </c>
      <c r="D22" s="26" t="inlineStr">
        <is>
          <t>100%</t>
        </is>
      </c>
      <c r="E22" s="27" t="inlineStr">
        <is>
          <t>已发布</t>
        </is>
      </c>
      <c r="F22" s="28" t="inlineStr">
        <is>
          <t>2c5a0b7</t>
        </is>
      </c>
      <c r="G22" s="27" t="inlineStr">
        <is>
          <t>低</t>
        </is>
      </c>
      <c r="H22" s="29" t="inlineStr">
        <is>
          <t>马克群</t>
        </is>
      </c>
      <c r="I22" s="30" t="inlineStr">
        <is>
          <t>0.3</t>
        </is>
      </c>
      <c r="J22" s="31" t="inlineStr">
        <is>
          <t>DBA 介入入口</t>
        </is>
      </c>
      <c r="K22" s="37" t="inlineStr">
        <is>
          <t>【场景】DBA 紧急介入（取消/重试/回滚）；【使用】admin → gh-ost 任务 → 勾选 → 选 action（取消当前、重试失败、手动 drop 影子表）。</t>
        </is>
      </c>
    </row>
    <row r="23" ht="48" customHeight="1">
      <c r="A23" s="25" t="inlineStr"/>
      <c r="B23" s="25" t="inlineStr">
        <is>
          <t>v0.3.0-beta：钉钉群通知（notify.py）</t>
        </is>
      </c>
      <c r="C23" s="25" t="inlineStr">
        <is>
          <t>2026-08-06 下午</t>
        </is>
      </c>
      <c r="D23" s="26" t="inlineStr">
        <is>
          <t>100%</t>
        </is>
      </c>
      <c r="E23" s="27" t="inlineStr">
        <is>
          <t>已发布</t>
        </is>
      </c>
      <c r="F23" s="28" t="inlineStr">
        <is>
          <t>2c5a0b7</t>
        </is>
      </c>
      <c r="G23" s="27" t="inlineStr">
        <is>
          <t>低</t>
        </is>
      </c>
      <c r="H23" s="29" t="inlineStr">
        <is>
          <t>马克群</t>
        </is>
      </c>
      <c r="I23" s="30" t="inlineStr">
        <is>
          <t>0.2</t>
        </is>
      </c>
      <c r="J23" s="31" t="inlineStr">
        <is>
          <t>best-effort</t>
        </is>
      </c>
      <c r="K23" s="37" t="inlineStr">
        <is>
          <t>【场景】DBA 群要知道工单迁移结果；【使用】配置 110 .env 的 DINGTALK_NOTIFY_WEBHOOK，task 终态时自动 @ 发起人 + 报告耗时。</t>
        </is>
      </c>
    </row>
    <row r="24" ht="48" customHeight="1">
      <c r="A24" s="25" t="inlineStr"/>
      <c r="B24" s="25" t="inlineStr">
        <is>
          <t>v0.3.0-beta：暂停阈值（Threads_running SIGSTOP）</t>
        </is>
      </c>
      <c r="C24" s="25" t="inlineStr">
        <is>
          <t>2026-08-06 下午</t>
        </is>
      </c>
      <c r="D24" s="26" t="inlineStr">
        <is>
          <t>100%</t>
        </is>
      </c>
      <c r="E24" s="27" t="inlineStr">
        <is>
          <t>已发布</t>
        </is>
      </c>
      <c r="F24" s="28" t="inlineStr">
        <is>
          <t>2c5a0b7</t>
        </is>
      </c>
      <c r="G24" s="27" t="inlineStr">
        <is>
          <t>低</t>
        </is>
      </c>
      <c r="H24" s="29" t="inlineStr">
        <is>
          <t>马克群</t>
        </is>
      </c>
      <c r="I24" s="30" t="inlineStr">
        <is>
          <t>0.3</t>
        </is>
      </c>
      <c r="J24" s="31" t="inlineStr">
        <is>
          <t>生产保护</t>
        </is>
      </c>
      <c r="K24" s="33" t="inlineStr">
        <is>
          <t>【场景】生产高峰期不能压垮 MySQL；【使用】poller 每 10s 查 Threads_running → 超阈值 SIGSTOP gh-ost → 负载降下来 SIGCONT。</t>
        </is>
      </c>
    </row>
    <row r="25" ht="48" customHeight="1">
      <c r="A25" s="25" t="inlineStr"/>
      <c r="B25" s="25" t="inlineStr">
        <is>
          <t>v0.3.0-beta：影子表 7 天 cron</t>
        </is>
      </c>
      <c r="C25" s="25" t="inlineStr">
        <is>
          <t>2026-08-06 下午</t>
        </is>
      </c>
      <c r="D25" s="26" t="inlineStr">
        <is>
          <t>100%</t>
        </is>
      </c>
      <c r="E25" s="27" t="inlineStr">
        <is>
          <t>已发布</t>
        </is>
      </c>
      <c r="F25" s="28" t="inlineStr">
        <is>
          <t>2c5a0b7</t>
        </is>
      </c>
      <c r="G25" s="27" t="inlineStr">
        <is>
          <t>低</t>
        </is>
      </c>
      <c r="H25" s="29" t="inlineStr">
        <is>
          <t>马克群</t>
        </is>
      </c>
      <c r="I25" s="30" t="inlineStr">
        <is>
          <t>0.3</t>
        </is>
      </c>
      <c r="J25" s="31" t="inlineStr">
        <is>
          <t>管理命令</t>
        </is>
      </c>
      <c r="K25" s="37" t="inlineStr">
        <is>
          <t>【场景】失败留下的影子表越攒越多；【使用】django-q 调度 /usr/bin/python manage.py cleanup_ghost_tables（或手动跑加 --dry-run 预览）。</t>
        </is>
      </c>
    </row>
    <row r="26" ht="48" customHeight="1">
      <c r="A26" s="25" t="inlineStr"/>
      <c r="B26" s="25" t="inlineStr">
        <is>
          <t>134 dev 真表演练 5 次（cut-over 全部成功）</t>
        </is>
      </c>
      <c r="C26" s="25" t="inlineStr">
        <is>
          <t>2026-08-06 下午</t>
        </is>
      </c>
      <c r="D26" s="26" t="inlineStr">
        <is>
          <t>100%</t>
        </is>
      </c>
      <c r="E26" s="27" t="inlineStr">
        <is>
          <t>已发布</t>
        </is>
      </c>
      <c r="F26" s="28" t="inlineStr">
        <is>
          <t>—</t>
        </is>
      </c>
      <c r="G26" s="27" t="inlineStr">
        <is>
          <t>低</t>
        </is>
      </c>
      <c r="H26" s="29" t="inlineStr">
        <is>
          <t>马克群</t>
        </is>
      </c>
      <c r="I26" s="30" t="inlineStr">
        <is>
          <t>0.5</t>
        </is>
      </c>
      <c r="J26" s="31" t="inlineStr">
        <is>
          <t>5 次真改</t>
        </is>
      </c>
      <c r="K26" s="37" t="inlineStr">
        <is>
          <t>【场景】验证端到端在真实业务表上能跑通；【使用】DBA 看 task 状态从 queued → running → success，影子表自动 drop。</t>
        </is>
      </c>
    </row>
    <row r="27" ht="48" customHeight="1">
      <c r="A27" s="25" t="inlineStr"/>
      <c r="B27" s="25" t="inlineStr">
        <is>
          <t>v0.3.0 推 110 prod</t>
        </is>
      </c>
      <c r="C27" s="25" t="inlineStr">
        <is>
          <t>—</t>
        </is>
      </c>
      <c r="D27" s="38" t="inlineStr">
        <is>
          <t>0%</t>
        </is>
      </c>
      <c r="E27" s="35" t="inlineStr">
        <is>
          <t>待办</t>
        </is>
      </c>
      <c r="F27" s="28" t="inlineStr">
        <is>
          <t>—</t>
        </is>
      </c>
      <c r="G27" s="35" t="inlineStr">
        <is>
          <t>中</t>
        </is>
      </c>
      <c r="H27" s="29" t="inlineStr">
        <is>
          <t>马克群</t>
        </is>
      </c>
      <c r="I27" s="30" t="inlineStr">
        <is>
          <t>1</t>
        </is>
      </c>
      <c r="J27" s="39" t="inlineStr">
        <is>
          <t>等 webhook + 密文修复</t>
        </is>
      </c>
      <c r="K27" s="37" t="inlineStr">
        <is>
          <t>【场景】dev 验证完要上生产；【使用】配 110 .env 配 DINGTALK_NOTIFY_WEBHOOK + DBA 重新保存 instance user/password（解 mirage 密文）+ promote_110.sh。</t>
        </is>
      </c>
    </row>
    <row r="28" ht="48" customHeight="1">
      <c r="A28" s="25" t="inlineStr"/>
      <c r="B28" s="25" t="inlineStr">
        <is>
          <t>提 MR6 给上游 hhyo/Archery</t>
        </is>
      </c>
      <c r="C28" s="25" t="inlineStr">
        <is>
          <t>—</t>
        </is>
      </c>
      <c r="D28" s="38" t="inlineStr">
        <is>
          <t>0%</t>
        </is>
      </c>
      <c r="E28" s="40" t="inlineStr">
        <is>
          <t>可选</t>
        </is>
      </c>
      <c r="F28" s="28" t="inlineStr">
        <is>
          <t>09d3cc2</t>
        </is>
      </c>
      <c r="G28" s="27" t="inlineStr">
        <is>
          <t>低</t>
        </is>
      </c>
      <c r="H28" s="29" t="inlineStr">
        <is>
          <t>马克群</t>
        </is>
      </c>
      <c r="I28" s="30" t="inlineStr">
        <is>
          <t>0.2</t>
        </is>
      </c>
      <c r="J28" s="39" t="inlineStr">
        <is>
          <t>5 行 diff</t>
        </is>
      </c>
      <c r="K28" s="33" t="inlineStr">
        <is>
          <t>【场景】bigint 精度问题影响所有 1.14.0 用户；【使用】mavis PR 到 github.com/hhyo/Archery，5 行 diff（sql_api/renderers.py 加 bigint_as_string=True）。</t>
        </is>
      </c>
    </row>
    <row r="29" ht="48" customHeight="1">
      <c r="A29" s="41" t="inlineStr">
        <is>
          <t>收尾</t>
        </is>
      </c>
      <c r="B29" s="25" t="inlineStr">
        <is>
          <t>D+7 清理 110 旧版 /dbdata/archery_v114/</t>
        </is>
      </c>
      <c r="C29" s="25" t="inlineStr">
        <is>
          <t>2026-08-12 后</t>
        </is>
      </c>
      <c r="D29" s="38" t="inlineStr">
        <is>
          <t>0%</t>
        </is>
      </c>
      <c r="E29" s="35" t="inlineStr">
        <is>
          <t>待办</t>
        </is>
      </c>
      <c r="F29" s="28" t="inlineStr">
        <is>
          <t>—</t>
        </is>
      </c>
      <c r="G29" s="27" t="inlineStr">
        <is>
          <t>低</t>
        </is>
      </c>
      <c r="H29" s="29" t="inlineStr">
        <is>
          <t>马克群</t>
        </is>
      </c>
      <c r="I29" s="30" t="inlineStr">
        <is>
          <t>0.2</t>
        </is>
      </c>
      <c r="J29" s="39" t="inlineStr">
        <is>
          <t>A 级回滚保险到期</t>
        </is>
      </c>
      <c r="K29" s="37" t="inlineStr">
        <is>
          <t>【场景】110 prod 旧版保留 7 天后可以清；【使用】DBA 在 2026-08-12 后跑 rm -rf /dbdata/archery_v114/ + 删 /backup/promote/switch_20260805_201046/。</t>
        </is>
      </c>
    </row>
    <row r="30" ht="48" customHeight="1">
      <c r="A30" s="25" t="inlineStr"/>
      <c r="B30" s="25" t="inlineStr">
        <is>
          <t>MR 5 MySQL 5.7 → 8.0 升级规划</t>
        </is>
      </c>
      <c r="C30" s="25" t="inlineStr">
        <is>
          <t>—</t>
        </is>
      </c>
      <c r="D30" s="38" t="inlineStr">
        <is>
          <t>0%</t>
        </is>
      </c>
      <c r="E30" s="40" t="inlineStr">
        <is>
          <t>TBD</t>
        </is>
      </c>
      <c r="F30" s="28" t="inlineStr">
        <is>
          <t>—</t>
        </is>
      </c>
      <c r="G30" s="42" t="inlineStr">
        <is>
          <t>高</t>
        </is>
      </c>
      <c r="H30" s="29" t="inlineStr">
        <is>
          <t>马克群</t>
        </is>
      </c>
      <c r="I30" s="43" t="inlineStr">
        <is>
          <t>5+</t>
        </is>
      </c>
      <c r="J30" s="39" t="inlineStr">
        <is>
          <t>独立项目</t>
        </is>
      </c>
      <c r="K30" s="37" t="inlineStr">
        <is>
          <t>【场景】5.7 已 EOL，必须升级到 8.0；【使用】独立项目评估 → 语法兼容性测试 + 字符集迁移 + 复制拓扑验证 → 切流（预计 5+ 天）。</t>
        </is>
      </c>
    </row>
    <row r="31" ht="48" customHeight="1">
      <c r="A31" s="36" t="inlineStr">
        <is>
          <t>gh-ost 无锁 DDL</t>
        </is>
      </c>
      <c r="B31" s="25" t="inlineStr">
        <is>
          <t>v0.4.0 列压缩</t>
        </is>
      </c>
      <c r="C31" s="25" t="inlineStr">
        <is>
          <t>2026-08-06</t>
        </is>
      </c>
      <c r="D31" s="26" t="inlineStr">
        <is>
          <t>100%</t>
        </is>
      </c>
      <c r="E31" s="27" t="inlineStr">
        <is>
          <t>已发布</t>
        </is>
      </c>
      <c r="F31" s="28" t="inlineStr">
        <is>
          <t>33cfd0f</t>
        </is>
      </c>
      <c r="G31" s="35" t="inlineStr">
        <is>
          <t>中</t>
        </is>
      </c>
      <c r="H31" s="44" t="inlineStr">
        <is>
          <t>mavis</t>
        </is>
      </c>
      <c r="I31" s="30" t="inlineStr">
        <is>
          <t>0.3</t>
        </is>
      </c>
      <c r="J31" s="45" t="inlineStr">
        <is>
          <t>Excel 列压缩到 11 列；DROP COLUMN + ADD COLUMN 改写为单行 ALTER 链</t>
        </is>
      </c>
      <c r="K31" s="46" t="inlineStr">
        <is>
          <t>【场景】v0.3.0 之前 DROP/ADD 拆成两条工单，134 dev 演练 1 张表要走 2 次 gh-ost。【使用】工单页面检测到 DROP+ADD 同表同提交 → 合并成 `ALTER TABLE x DROP col_a, ADD col_b` 单条 → 1 次 gh-ost 完成。</t>
        </is>
      </c>
    </row>
    <row r="32" ht="56" customHeight="1">
      <c r="A32" s="57" t="inlineStr">
        <is>
          <t>gh-ost 无锁 DDL</t>
        </is>
      </c>
      <c r="B32" s="58" t="inlineStr">
        <is>
          <t>v0.4.1-alpha：ArchiveConfig 加进度字段（last_archive_status + progress_pct）</t>
        </is>
      </c>
      <c r="C32" s="59" t="inlineStr">
        <is>
          <t>—</t>
        </is>
      </c>
      <c r="D32" s="60" t="inlineStr">
        <is>
          <t>0%</t>
        </is>
      </c>
      <c r="E32" s="61" t="inlineStr">
        <is>
          <t>待办</t>
        </is>
      </c>
      <c r="F32" s="62" t="inlineStr">
        <is>
          <t>DRAFT</t>
        </is>
      </c>
      <c r="G32" s="63" t="inlineStr">
        <is>
          <t>低</t>
        </is>
      </c>
      <c r="H32" s="64" t="inlineStr">
        <is>
          <t>mavis</t>
        </is>
      </c>
      <c r="I32" s="65" t="n">
        <v>0.3</v>
      </c>
      <c r="J32" s="66" t="inlineStr">
        <is>
          <t>admin list_display 加 last_archive_status / progress_pct 字段</t>
        </is>
      </c>
      <c r="K32" s="67" t="inlineStr">
        <is>
          <t>【场景】现有 archive_config 表只有 last_archive_time，看不到归档是否成功、跑了多少行。【使用】新增字段 last_archive_status（success/failed/running/pending）+ progress_pct + rows_archived；admin 列表直接看到状态。</t>
        </is>
      </c>
    </row>
    <row r="33" ht="56" customHeight="1">
      <c r="A33" s="57" t="inlineStr">
        <is>
          <t>gh-ost 无锁 DDL</t>
        </is>
      </c>
      <c r="B33" s="58" t="inlineStr">
        <is>
          <t>v0.4.1-alpha：归档详情页增强（archive_detail.html 进度条 + 历史日志表格）</t>
        </is>
      </c>
      <c r="C33" s="59" t="inlineStr">
        <is>
          <t>—</t>
        </is>
      </c>
      <c r="D33" s="60" t="inlineStr">
        <is>
          <t>0%</t>
        </is>
      </c>
      <c r="E33" s="61" t="inlineStr">
        <is>
          <t>待办</t>
        </is>
      </c>
      <c r="F33" s="62" t="inlineStr">
        <is>
          <t>DRAFT</t>
        </is>
      </c>
      <c r="G33" s="61" t="inlineStr">
        <is>
          <t>中</t>
        </is>
      </c>
      <c r="H33" s="64" t="inlineStr">
        <is>
          <t>mavis</t>
        </is>
      </c>
      <c r="I33" s="65" t="n">
        <v>0.4</v>
      </c>
      <c r="J33" s="66" t="inlineStr">
        <is>
          <t>templates/sqlarchive.html 改造 + ArchiveLog 表格化</t>
        </is>
      </c>
      <c r="K33" s="67" t="inlineStr">
        <is>
          <t>【场景】DBA 点进归档详情只看到基础字段，看不到每次归档跑了多少行 / 用了多久 / 失败原因。【使用】详情页加 进度条 + 历史日志表格（select_cnt/insert_cnt/delete_cnt/start_time/end_time/success/error_info）。</t>
        </is>
      </c>
    </row>
    <row r="34" ht="56" customHeight="1">
      <c r="A34" s="57" t="inlineStr">
        <is>
          <t>gh-ost 无锁 DDL</t>
        </is>
      </c>
      <c r="B34" s="58" t="inlineStr">
        <is>
          <t>v0.4.1-alpha：归档完成钉钉通知（ArchiveLog 写完后发）</t>
        </is>
      </c>
      <c r="C34" s="59" t="inlineStr">
        <is>
          <t>—</t>
        </is>
      </c>
      <c r="D34" s="60" t="inlineStr">
        <is>
          <t>0%</t>
        </is>
      </c>
      <c r="E34" s="61" t="inlineStr">
        <is>
          <t>待办</t>
        </is>
      </c>
      <c r="F34" s="62" t="inlineStr">
        <is>
          <t>DRAFT</t>
        </is>
      </c>
      <c r="G34" s="63" t="inlineStr">
        <is>
          <t>低</t>
        </is>
      </c>
      <c r="H34" s="64" t="inlineStr">
        <is>
          <t>mavis</t>
        </is>
      </c>
      <c r="I34" s="65" t="n">
        <v>0.2</v>
      </c>
      <c r="J34" s="66" t="inlineStr">
        <is>
          <t>archiver.archive() 末尾 async_task 发钉钉群</t>
        </is>
      </c>
      <c r="K34" s="67" t="inlineStr">
        <is>
          <t>【场景】归档是异步任务，DBA 不盯着页面不知道跑完没。【使用】archive() 完成后 async_task 调 notify_terminal，发钉钉群（best-effort，webhook 没配就 skip）。</t>
        </is>
      </c>
    </row>
    <row r="35" ht="56" customHeight="1">
      <c r="A35" s="57" t="inlineStr">
        <is>
          <t>gh-ost 无锁 DDL</t>
        </is>
      </c>
      <c r="B35" s="58" t="inlineStr">
        <is>
          <t>v0.4.2-alpha：ArchiveConfig 加 auto_rebuild_after_archive 字段 + 归档完成 hook</t>
        </is>
      </c>
      <c r="C35" s="59" t="inlineStr">
        <is>
          <t>—</t>
        </is>
      </c>
      <c r="D35" s="60" t="inlineStr">
        <is>
          <t>0%</t>
        </is>
      </c>
      <c r="E35" s="61" t="inlineStr">
        <is>
          <t>待办</t>
        </is>
      </c>
      <c r="F35" s="62" t="inlineStr">
        <is>
          <t>DRAFT</t>
        </is>
      </c>
      <c r="G35" s="61" t="inlineStr">
        <is>
          <t>中</t>
        </is>
      </c>
      <c r="H35" s="64" t="inlineStr">
        <is>
          <t>mavis</t>
        </is>
      </c>
      <c r="I35" s="65" t="n">
        <v>0.5</v>
      </c>
      <c r="J35" s="66" t="inlineStr">
        <is>
          <t>Boolean 字段；archive() 成功后自动触发 v0.4.5 rebuild task</t>
        </is>
      </c>
      <c r="K35" s="67" t="inlineStr">
        <is>
          <t>【场景】归档删完数据后表会有大量碎片，需要 OPTIMIZE/重建。以前是手动两步走。【使用】ArchiveConfig 加 auto_rebuild_after_archive Boolean（默认 False）；archive() 成功后检测字段 → 写 DdlGhostTask（task_type=rebuild, related_task_id=archive_id）。</t>
        </is>
      </c>
    </row>
    <row r="36" ht="56" customHeight="1">
      <c r="A36" s="57" t="inlineStr">
        <is>
          <t>gh-ost 无锁 DDL</t>
        </is>
      </c>
      <c r="B36" s="58" t="inlineStr">
        <is>
          <t>v0.4.2-beta：134 dev 演练归档→自动回收（accesscard_black_detail 造数据）</t>
        </is>
      </c>
      <c r="C36" s="59" t="inlineStr">
        <is>
          <t>—</t>
        </is>
      </c>
      <c r="D36" s="60" t="inlineStr">
        <is>
          <t>0%</t>
        </is>
      </c>
      <c r="E36" s="61" t="inlineStr">
        <is>
          <t>待办</t>
        </is>
      </c>
      <c r="F36" s="62" t="inlineStr">
        <is>
          <t>DRAFT</t>
        </is>
      </c>
      <c r="G36" s="61" t="inlineStr">
        <is>
          <t>中</t>
        </is>
      </c>
      <c r="H36" s="64" t="inlineStr">
        <is>
          <t>mavis</t>
        </is>
      </c>
      <c r="I36" s="65" t="n">
        <v>0.3</v>
      </c>
      <c r="J36" s="66" t="inlineStr">
        <is>
          <t>134 dev 演练：归档 100 万行历史数据 → 验证自动 rebuild</t>
        </is>
      </c>
      <c r="K36" s="67" t="inlineStr">
        <is>
          <t>【场景】真实业务表测归档+重建联动。【使用】DBA 在 134 dev archery_dev 库 accesscard_black_detail 灌 100 万行 → 配归档+勾 auto_rebuild → 触发归档 → 验证 rebuild 自动跑 + 碎片回收成功。</t>
        </is>
      </c>
    </row>
    <row r="37" ht="56" customHeight="1">
      <c r="A37" s="57" t="inlineStr">
        <is>
          <t>gh-ost 无锁 DDL</t>
        </is>
      </c>
      <c r="B37" s="58" t="inlineStr">
        <is>
          <t>v0.4.3-alpha：ArchiveLog 前端表格化（select/insert/delete 数量可视化）</t>
        </is>
      </c>
      <c r="C37" s="59" t="inlineStr">
        <is>
          <t>—</t>
        </is>
      </c>
      <c r="D37" s="60" t="inlineStr">
        <is>
          <t>0%</t>
        </is>
      </c>
      <c r="E37" s="61" t="inlineStr">
        <is>
          <t>待办</t>
        </is>
      </c>
      <c r="F37" s="62" t="inlineStr">
        <is>
          <t>DRAFT</t>
        </is>
      </c>
      <c r="G37" s="63" t="inlineStr">
        <is>
          <t>低</t>
        </is>
      </c>
      <c r="H37" s="64" t="inlineStr">
        <is>
          <t>mavis</t>
        </is>
      </c>
      <c r="I37" s="65" t="n">
        <v>0.3</v>
      </c>
      <c r="J37" s="66" t="inlineStr">
        <is>
          <t>archive_log.html 加可视化（条形图 / 数字徽章）</t>
        </is>
      </c>
      <c r="K37" s="67" t="inlineStr">
        <is>
          <t>【场景】归档日志表里只有 select_cnt/insert_cnt/delete_cnt 三个数字，肉眼比对累。【使用】前端加条形图 + 颜色徽章（成功=绿/失败=红），DBA 一眼看成功率和数据量趋势。</t>
        </is>
      </c>
    </row>
    <row r="38" ht="56" customHeight="1">
      <c r="A38" s="57" t="inlineStr">
        <is>
          <t>gh-ost 无锁 DDL</t>
        </is>
      </c>
      <c r="B38" s="58" t="inlineStr">
        <is>
          <t>v0.4.3-alpha：归档成功率统计 dashboard（周/月）</t>
        </is>
      </c>
      <c r="C38" s="59" t="inlineStr">
        <is>
          <t>—</t>
        </is>
      </c>
      <c r="D38" s="60" t="inlineStr">
        <is>
          <t>0%</t>
        </is>
      </c>
      <c r="E38" s="61" t="inlineStr">
        <is>
          <t>待办</t>
        </is>
      </c>
      <c r="F38" s="62" t="inlineStr">
        <is>
          <t>DRAFT</t>
        </is>
      </c>
      <c r="G38" s="63" t="inlineStr">
        <is>
          <t>低</t>
        </is>
      </c>
      <c r="H38" s="64" t="inlineStr">
        <is>
          <t>mavis</t>
        </is>
      </c>
      <c r="I38" s="65" t="n">
        <v>0.3</v>
      </c>
      <c r="J38" s="66" t="inlineStr">
        <is>
          <t>dashboard 模块加 archive 统计卡片</t>
        </is>
      </c>
      <c r="K38" s="67" t="inlineStr">
        <is>
          <t>【场景】DBA 主管要看全局归档健康度。【使用】dashboard 加卡片：本周归档次数 / 成功率 / 总归档行数 / 失败 Top 5。SQL 用 SUM/COUNT GROUP BY week，django 模板渲染。</t>
        </is>
      </c>
    </row>
    <row r="39" ht="56" customHeight="1">
      <c r="A39" s="77" t="inlineStr">
        <is>
          <t>钉钉 OA 集成</t>
        </is>
      </c>
      <c r="B39" s="25" t="inlineStr">
        <is>
          <t>v0.2.1 钉钉 OA 模板（process_code）</t>
        </is>
      </c>
      <c r="C39" s="25" t="inlineStr">
        <is>
          <t>2026-08-06</t>
        </is>
      </c>
      <c r="D39" s="38" t="inlineStr">
        <is>
          <t>0%</t>
        </is>
      </c>
      <c r="E39" s="35" t="inlineStr">
        <is>
          <t>待办</t>
        </is>
      </c>
      <c r="F39" s="28" t="inlineStr">
        <is>
          <t>DRAFT</t>
        </is>
      </c>
      <c r="G39" s="35" t="inlineStr">
        <is>
          <t>中</t>
        </is>
      </c>
      <c r="H39" s="29" t="inlineStr">
        <is>
          <t>马克群</t>
        </is>
      </c>
      <c r="I39" s="30" t="inlineStr">
        <is>
          <t>0.5</t>
        </is>
      </c>
      <c r="J39" s="48" t="inlineStr">
        <is>
          <t>未开始；用户在 oa.dingtalk.com 建模板</t>
        </is>
      </c>
      <c r="K39" s="32" t="inlineStr"/>
    </row>
    <row r="40" ht="56" customHeight="1">
      <c r="A40" s="77" t="inlineStr">
        <is>
          <t>钉钉 OA 集成</t>
        </is>
      </c>
      <c r="B40" s="25" t="inlineStr">
        <is>
          <t>v0.2.2 Tunnel + 回调加密（cloudflared）</t>
        </is>
      </c>
      <c r="C40" s="25" t="inlineStr">
        <is>
          <t>2026-08-06</t>
        </is>
      </c>
      <c r="D40" s="38" t="inlineStr">
        <is>
          <t>0%</t>
        </is>
      </c>
      <c r="E40" s="35" t="inlineStr">
        <is>
          <t>待办</t>
        </is>
      </c>
      <c r="F40" s="28" t="inlineStr">
        <is>
          <t>DRAFT</t>
        </is>
      </c>
      <c r="G40" s="35" t="inlineStr">
        <is>
          <t>中</t>
        </is>
      </c>
      <c r="H40" s="29" t="inlineStr">
        <is>
          <t>马克群</t>
        </is>
      </c>
      <c r="I40" s="30" t="inlineStr">
        <is>
          <t>1</t>
        </is>
      </c>
      <c r="J40" s="48" t="inlineStr">
        <is>
          <t>前置条件：DBA 需自备域名（公网已备案），不能用 trycloudflare 临时域名；callback URL 走域名 + HTTPS</t>
        </is>
      </c>
      <c r="K40" s="32" t="inlineStr"/>
    </row>
    <row r="41">
      <c r="A41" s="77" t="inlineStr">
        <is>
          <t>钉钉 OA 集成</t>
        </is>
      </c>
      <c r="B41" s="25" t="inlineStr">
        <is>
          <t>v0.2.3 对账 cron + runbook</t>
        </is>
      </c>
      <c r="C41" s="25" t="inlineStr">
        <is>
          <t>2026-08-06</t>
        </is>
      </c>
      <c r="D41" s="38" t="inlineStr">
        <is>
          <t>0%</t>
        </is>
      </c>
      <c r="E41" s="35" t="inlineStr">
        <is>
          <t>待办</t>
        </is>
      </c>
      <c r="F41" s="28" t="inlineStr">
        <is>
          <t>DRAFT</t>
        </is>
      </c>
      <c r="G41" s="35" t="inlineStr">
        <is>
          <t>中</t>
        </is>
      </c>
      <c r="H41" s="29" t="inlineStr">
        <is>
          <t>马克群</t>
        </is>
      </c>
      <c r="I41" s="30" t="inlineStr">
        <is>
          <t>1</t>
        </is>
      </c>
      <c r="J41" s="48" t="inlineStr">
        <is>
          <t>依赖：v0.2.1 模板 + v0.2.2 tunnel 都完成后才能做（callback 不通就没法对账）</t>
        </is>
      </c>
      <c r="K41" s="32" t="inlineStr"/>
    </row>
    <row r="42">
      <c r="A42" s="57" t="inlineStr">
        <is>
          <t>gh-ost 无锁 DDL</t>
        </is>
      </c>
      <c r="B42" s="25" t="inlineStr">
        <is>
          <t>v0.4.5-alpha：model 改造（task_type + target_table + 拆 OneToOne）</t>
        </is>
      </c>
      <c r="C42" s="59" t="inlineStr">
        <is>
          <t>2026-08-06</t>
        </is>
      </c>
      <c r="D42" s="78" t="inlineStr">
        <is>
          <t>100%</t>
        </is>
      </c>
      <c r="E42" s="63" t="inlineStr">
        <is>
          <t>已发布</t>
        </is>
      </c>
      <c r="F42" s="79" t="inlineStr">
        <is>
          <t>6412da4</t>
        </is>
      </c>
      <c r="G42" s="35" t="inlineStr">
        <is>
          <t>中</t>
        </is>
      </c>
      <c r="H42" s="29" t="inlineStr">
        <is>
          <t>马克群</t>
        </is>
      </c>
      <c r="I42" s="30" t="n">
        <v>0.3</v>
      </c>
      <c r="J42" s="80" t="inlineStr">
        <is>
          <t>alpha 6 件第 1 件；134 dev makemigrations --check 0 missing + migrate --check 0 阻塞</t>
        </is>
      </c>
      <c r="K42" s="32" t="inlineStr">
        <is>
          <t>【场景】ghost 是工单级（OneToOne SqlWorkflow），rebuild 是表级（DBA 手动选表）。【使用】新增字段 `task_type`/`target_table`/`related_task_id`；rebuild 时 workflow=NULL，target_table 存 `db.table`。</t>
        </is>
      </c>
    </row>
    <row r="43">
      <c r="A43" s="57" t="inlineStr">
        <is>
          <t>gh-ost 无锁 DDL</t>
        </is>
      </c>
      <c r="B43" s="25" t="inlineStr">
        <is>
          <t>v0.4.5-alpha：rebuild service（services/rebuild.py）</t>
        </is>
      </c>
      <c r="C43" s="52" t="inlineStr">
        <is>
          <t>—</t>
        </is>
      </c>
      <c r="D43" s="38" t="inlineStr">
        <is>
          <t>0%</t>
        </is>
      </c>
      <c r="E43" s="35" t="inlineStr">
        <is>
          <t>待办</t>
        </is>
      </c>
      <c r="F43" s="53" t="inlineStr">
        <is>
          <t>DRAFT</t>
        </is>
      </c>
      <c r="G43" s="27" t="inlineStr">
        <is>
          <t>低</t>
        </is>
      </c>
      <c r="H43" s="29" t="inlineStr">
        <is>
          <t>马克群</t>
        </is>
      </c>
      <c r="I43" s="30" t="n">
        <v>0.3</v>
      </c>
      <c r="J43" s="54" t="inlineStr">
        <is>
          <t>复用 runner.py，差别只在 --alter 改 COMMENT 空 alter 触发重建</t>
        </is>
      </c>
      <c r="K43" s="32" t="inlineStr">
        <is>
          <t>【场景】大表碎片率高，OPTIMIZE TABLE 锁表；pt-osc 装新环境成本高。【使用】gh-ost 跑 `ALTER TABLE x COMMENT 'archery-auto-rebuild-YYYYMMDD'`，结构不变触发表重建，几秒锁表完成。</t>
        </is>
      </c>
    </row>
    <row r="44">
      <c r="A44" s="57" t="inlineStr">
        <is>
          <t>gh-ost 无锁 DDL</t>
        </is>
      </c>
      <c r="B44" s="25" t="inlineStr">
        <is>
          <t>v0.4.5-alpha：视图 + 路由（rebuild/list 端点）</t>
        </is>
      </c>
      <c r="C44" s="52" t="inlineStr">
        <is>
          <t>—</t>
        </is>
      </c>
      <c r="D44" s="38" t="inlineStr">
        <is>
          <t>0%</t>
        </is>
      </c>
      <c r="E44" s="35" t="inlineStr">
        <is>
          <t>待办</t>
        </is>
      </c>
      <c r="F44" s="53" t="inlineStr">
        <is>
          <t>DRAFT</t>
        </is>
      </c>
      <c r="G44" s="35" t="inlineStr">
        <is>
          <t>中</t>
        </is>
      </c>
      <c r="H44" s="29" t="inlineStr">
        <is>
          <t>马克群</t>
        </is>
      </c>
      <c r="I44" s="30" t="n">
        <v>0.3</v>
      </c>
      <c r="J44" s="54" t="inlineStr">
        <is>
          <t>新增 POST /gh_ost/rebuild/&lt;table_id&gt;/ + GET /gh_ost/rebuild/list/</t>
        </is>
      </c>
      <c r="K44" s="32" t="inlineStr">
        <is>
          <t>【场景】DBA 选 instance + 表 → 一键触发 rebuild。【使用】DBA 在 admin 表列表点 "重建" → 写 task（task_type=rebuild, workflow=NULL）→ 启动 gh-ost → 进度面板 polling 3s。</t>
        </is>
      </c>
    </row>
    <row r="45">
      <c r="A45" s="57" t="inlineStr">
        <is>
          <t>gh-ost 无锁 DDL</t>
        </is>
      </c>
      <c r="B45" s="25" t="inlineStr">
        <is>
          <t>v0.4.5-alpha：admin + UI（list_filter + 批量 action）</t>
        </is>
      </c>
      <c r="C45" s="52" t="inlineStr">
        <is>
          <t>—</t>
        </is>
      </c>
      <c r="D45" s="38" t="inlineStr">
        <is>
          <t>0%</t>
        </is>
      </c>
      <c r="E45" s="35" t="inlineStr">
        <is>
          <t>待办</t>
        </is>
      </c>
      <c r="F45" s="53" t="inlineStr">
        <is>
          <t>DRAFT</t>
        </is>
      </c>
      <c r="G45" s="35" t="inlineStr">
        <is>
          <t>中</t>
        </is>
      </c>
      <c r="H45" s="29" t="inlineStr">
        <is>
          <t>马克群</t>
        </is>
      </c>
      <c r="I45" s="30" t="n">
        <v>0.3</v>
      </c>
      <c r="J45" s="54" t="inlineStr">
        <is>
          <t>admin list_filter 加 task_type；admin action 加 "批量重建"；progress.html 适配 rebuild 无工单场景</t>
        </is>
      </c>
      <c r="K45" s="32" t="inlineStr">
        <is>
          <t>【场景】DBA 看到一堆要重建的表，挨个点太慢。【使用】admin 勾选 N 张表 → action 选 "批量重建" → 一次触发 N 个 rebuild task（按表排队，同表只跑 1 个）。</t>
        </is>
      </c>
    </row>
    <row r="46">
      <c r="A46" s="57" t="inlineStr">
        <is>
          <t>gh-ost 无锁 DDL</t>
        </is>
      </c>
      <c r="B46" s="25" t="inlineStr">
        <is>
          <t>v0.4.5-alpha：排队 + 关联归档（services/queue.py）</t>
        </is>
      </c>
      <c r="C46" s="52" t="inlineStr">
        <is>
          <t>—</t>
        </is>
      </c>
      <c r="D46" s="38" t="inlineStr">
        <is>
          <t>0%</t>
        </is>
      </c>
      <c r="E46" s="35" t="inlineStr">
        <is>
          <t>待办</t>
        </is>
      </c>
      <c r="F46" s="53" t="inlineStr">
        <is>
          <t>DRAFT</t>
        </is>
      </c>
      <c r="G46" s="35" t="inlineStr">
        <is>
          <t>中</t>
        </is>
      </c>
      <c r="H46" s="29" t="inlineStr">
        <is>
          <t>马克群</t>
        </is>
      </c>
      <c r="I46" s="30" t="n">
        <v>0.5</v>
      </c>
      <c r="J46" s="54" t="inlineStr">
        <is>
          <t>同表冲突排队（FIFO）；归档联动 auto_link_archive opt-in 开关</t>
        </is>
      </c>
      <c r="K46" s="32" t="inlineStr">
        <is>
          <t>【场景】DBA 同时点 "归档 + 回收"，同表 2 个 task 撞车。【使用】rebuild 检测到同表有归档 task running → 排队等前面完成 → 归档完自动启动 rebuild。归档联动默认关，要开显式勾 "归档完自动回收"。</t>
        </is>
      </c>
    </row>
    <row r="47">
      <c r="A47" s="57" t="inlineStr">
        <is>
          <t>gh-ost 无锁 DDL</t>
        </is>
      </c>
      <c r="B47" s="25" t="inlineStr">
        <is>
          <t>v0.4.5-alpha：134 dev 演练（accesscard_black_detail 造碎片 → 重建）</t>
        </is>
      </c>
      <c r="C47" s="52" t="inlineStr">
        <is>
          <t>—</t>
        </is>
      </c>
      <c r="D47" s="38" t="inlineStr">
        <is>
          <t>0%</t>
        </is>
      </c>
      <c r="E47" s="35" t="inlineStr">
        <is>
          <t>待办</t>
        </is>
      </c>
      <c r="F47" s="53" t="inlineStr">
        <is>
          <t>DRAFT</t>
        </is>
      </c>
      <c r="G47" s="35" t="inlineStr">
        <is>
          <t>中</t>
        </is>
      </c>
      <c r="H47" s="29" t="inlineStr">
        <is>
          <t>马克群</t>
        </is>
      </c>
      <c r="I47" s="30" t="n">
        <v>0.4</v>
      </c>
      <c r="J47" s="54" t="inlineStr">
        <is>
          <t>删 50% 数据造碎片 → 跑 rebuild → 前后对比 INFORMATION_SCHEMA.TABLES.DATA_FREE</t>
        </is>
      </c>
      <c r="K47" s="32" t="inlineStr">
        <is>
          <t>【场景】真实业务表测碎片回收效果。【使用】DBA 在 134 dev dev 库演练大表 accesscard_black_detail 上删一半行 → 点重建 → 观察 gh-ost 进度 → 验证 DATA_FREE 下降。重复 1 表 N 次验证限频 1 次/天/表。</t>
        </is>
      </c>
    </row>
    <row r="48" ht="48" customHeight="1">
      <c r="A48" s="57" t="inlineStr">
        <is>
          <t>gh-ost 无锁 DDL</t>
        </is>
      </c>
      <c r="B48" s="58" t="inlineStr">
        <is>
          <t>v0.3.0-beta 前段 UI 集成 4 件 (启用按钮 + iframe 进度 + admin 按钮)</t>
        </is>
      </c>
      <c r="C48" s="58" t="inlineStr">
        <is>
          <t>2026-08-11</t>
        </is>
      </c>
      <c r="D48" s="78" t="inlineStr">
        <is>
          <t>100%</t>
        </is>
      </c>
      <c r="E48" s="63" t="inlineStr">
        <is>
          <t>已发布</t>
        </is>
      </c>
      <c r="F48" s="79" t="inlineStr">
        <is>
          <t>6c44926→2129221, 853bf6a, 461152d, 281fbeb</t>
        </is>
      </c>
      <c r="G48" s="61" t="inlineStr">
        <is>
          <t>中</t>
        </is>
      </c>
      <c r="H48" s="64" t="inlineStr">
        <is>
          <t>mavis</t>
        </is>
      </c>
      <c r="I48" s="65" t="inlineStr">
        <is>
          <t>0.5</t>
        </is>
      </c>
      <c r="J48" s="81" t="inlineStr">
        <is>
          <t>commit 4 件 + X-Frame-Options exempt + admin URL 用 app_label + superuser 守卫</t>
        </is>
      </c>
      <c r="K48" s="67" t="inlineStr">
        <is>
          <t>【场景】RD 走 gh-ost 流程要在详情页看到启动入口和实时进度；【使用】详情页'启用 gh-ost'按钮 → 预检 5s → 启动 → 进度面板 iframe 轮询 3s。admin 按钮仅 superuser 可见，跳新窗口绕开 X-Frame-Options。</t>
        </is>
      </c>
    </row>
    <row r="49" ht="48" customHeight="1">
      <c r="A49" s="57" t="inlineStr">
        <is>
          <t>gh-ost 无锁 DDL</t>
        </is>
      </c>
      <c r="B49" s="58" t="inlineStr">
        <is>
          <t>v0.3.0-beta 端到端真跑成功 (wf=20 task=33 cut-over 5s)</t>
        </is>
      </c>
      <c r="C49" s="58" t="inlineStr">
        <is>
          <t>2026-08-11</t>
        </is>
      </c>
      <c r="D49" s="78" t="inlineStr">
        <is>
          <t>100%</t>
        </is>
      </c>
      <c r="E49" s="63" t="inlineStr">
        <is>
          <t>已发布</t>
        </is>
      </c>
      <c r="F49" s="79" t="inlineStr">
        <is>
          <t>cd2ce88</t>
        </is>
      </c>
      <c r="G49" s="61" t="inlineStr">
        <is>
          <t>中</t>
        </is>
      </c>
      <c r="H49" s="64" t="inlineStr">
        <is>
          <t>mavis</t>
        </is>
      </c>
      <c r="I49" s="65" t="inlineStr">
        <is>
          <t>0.3</t>
        </is>
      </c>
      <c r="J49" s="81" t="inlineStr">
        <is>
          <t>端到端首跑 wf#20 task#33</t>
        </is>
      </c>
      <c r="K49" s="67" t="inlineStr">
        <is>
          <t>【场景】v0.3.0-beta 在 134 dev 真表演练首次跑通；【使用】admin 启用 → precheck 5/5 → 启动 pid=47284 → 5s 内 cut-over success + progress=100 + current_stage=done，wf.status 自动切 workflow_finish。</t>
        </is>
      </c>
    </row>
    <row r="50" ht="48" customHeight="1">
      <c r="A50" s="57" t="inlineStr">
        <is>
          <t>gh-ost 无锁 DDL</t>
        </is>
      </c>
      <c r="B50" s="58" t="inlineStr">
        <is>
          <t>v0.3.0-beta 提交页'启用 gh-ost'勾选联动</t>
        </is>
      </c>
      <c r="C50" s="58" t="inlineStr">
        <is>
          <t>2026-08-11</t>
        </is>
      </c>
      <c r="D50" s="78" t="inlineStr">
        <is>
          <t>100%</t>
        </is>
      </c>
      <c r="E50" s="63" t="inlineStr">
        <is>
          <t>已发布</t>
        </is>
      </c>
      <c r="F50" s="79" t="inlineStr">
        <is>
          <t>70fcf47</t>
        </is>
      </c>
      <c r="G50" s="61" t="inlineStr">
        <is>
          <t>中</t>
        </is>
      </c>
      <c r="H50" s="64" t="inlineStr">
        <is>
          <t>mavis</t>
        </is>
      </c>
      <c r="I50" s="65" t="inlineStr">
        <is>
          <t>0.3</t>
        </is>
      </c>
      <c r="J50" s="81" t="inlineStr">
        <is>
          <t>submit_sql + api_workflow 联动</t>
        </is>
      </c>
      <c r="K50" s="67" t="inlineStr">
        <is>
          <t>【场景】RD 提交工单时能直接勾选'启用 gh-ost'；【使用】sqlsubmit.html 蓝色 checkbox → submit 端点调 _enable_ghost_for_workflow → 审批通过时 task 已在。3 路径验证：勾+ALTER 自动 / 不勾走原路径 / 勾+非 ALTER 主流程成功错误塞 response。</t>
        </is>
      </c>
    </row>
    <row r="51" ht="48" customHeight="1">
      <c r="A51" s="57" t="inlineStr">
        <is>
          <t>gh-ost 无锁 DDL</t>
        </is>
      </c>
      <c r="B51" s="58" t="inlineStr">
        <is>
          <t>v0.3.0-beta 状态机三件套 (避免双 ALTER + wf 状态同步)</t>
        </is>
      </c>
      <c r="C51" s="58" t="inlineStr">
        <is>
          <t>2026-08-11</t>
        </is>
      </c>
      <c r="D51" s="78" t="inlineStr">
        <is>
          <t>100%</t>
        </is>
      </c>
      <c r="E51" s="63" t="inlineStr">
        <is>
          <t>已发布</t>
        </is>
      </c>
      <c r="F51" s="79" t="inlineStr">
        <is>
          <t>04ae0aa</t>
        </is>
      </c>
      <c r="G51" s="61" t="inlineStr">
        <is>
          <t>中</t>
        </is>
      </c>
      <c r="H51" s="64" t="inlineStr">
        <is>
          <t>mavis</t>
        </is>
      </c>
      <c r="I51" s="65" t="inlineStr">
        <is>
          <t>0.4</t>
        </is>
      </c>
      <c r="J51" s="81" t="inlineStr">
        <is>
          <t>is_can_execute 守卫 + poller._sync_workflow_status + 终态 UI</t>
        </is>
      </c>
      <c r="K51" s="67" t="inlineStr">
        <is>
          <t>【场景】启用 gh-ost 后不能再点'立即执行'避免锁等待；【使用】active task (queued/running/cut_over/precheck_failed) 时 is_can_execute=False；poller 终态 success→workflow_finish / failed→workflow_exception / cancelled 不动；详情页 active 走 iframe / terminal 走摘要表。</t>
        </is>
      </c>
    </row>
    <row r="52" ht="48" customHeight="1">
      <c r="A52" s="57" t="inlineStr">
        <is>
          <t>gh-ost 无锁 DDL</t>
        </is>
      </c>
      <c r="B52" s="58" t="inlineStr">
        <is>
          <t>v0.3.0-beta zombie socket 双层防御</t>
        </is>
      </c>
      <c r="C52" s="58" t="inlineStr">
        <is>
          <t>2026-08-11</t>
        </is>
      </c>
      <c r="D52" s="78" t="inlineStr">
        <is>
          <t>100%</t>
        </is>
      </c>
      <c r="E52" s="63" t="inlineStr">
        <is>
          <t>已发布</t>
        </is>
      </c>
      <c r="F52" s="79" t="inlineStr">
        <is>
          <t>8ddc59a</t>
        </is>
      </c>
      <c r="G52" s="61" t="inlineStr">
        <is>
          <t>中</t>
        </is>
      </c>
      <c r="H52" s="64" t="inlineStr">
        <is>
          <t>mavis</t>
        </is>
      </c>
      <c r="I52" s="65" t="inlineStr">
        <is>
          <t>0.3</t>
        </is>
      </c>
      <c r="J52" s="81" t="inlineStr">
        <is>
          <t>runner 启动前清 + poller 终态清</t>
        </is>
      </c>
      <c r="K52" s="67" t="inlineStr">
        <is>
          <t>【场景】上次 cut-over 失败 / SIGTERM 残留 Unix socket 路径，新 gh-ost bind 失败；【使用】runner._cleanup_stale_socket 启动前探测（进程死 unlink + WARNING, 进程活 RuntimeError 防双跑）；poller SIGTERM 后 2s 探测 SIGKILL 兜底 + 主动 unlink /tmp/gh-ost.*.sock。</t>
        </is>
      </c>
    </row>
    <row r="53" ht="48" customHeight="1">
      <c r="A53" s="57" t="inlineStr">
        <is>
          <t>gh-ost 无锁 DDL</t>
        </is>
      </c>
      <c r="B53" s="58" t="inlineStr">
        <is>
          <t>v0.3.0-beta 审批守卫 (启用前必须审批通过)</t>
        </is>
      </c>
      <c r="C53" s="58" t="inlineStr">
        <is>
          <t>2026-08-11</t>
        </is>
      </c>
      <c r="D53" s="78" t="inlineStr">
        <is>
          <t>100%</t>
        </is>
      </c>
      <c r="E53" s="63" t="inlineStr">
        <is>
          <t>已发布</t>
        </is>
      </c>
      <c r="F53" s="79" t="inlineStr">
        <is>
          <t>664058c</t>
        </is>
      </c>
      <c r="G53" s="61" t="inlineStr">
        <is>
          <t>中</t>
        </is>
      </c>
      <c r="H53" s="64" t="inlineStr">
        <is>
          <t>mavis</t>
        </is>
      </c>
      <c r="I53" s="65" t="inlineStr">
        <is>
          <t>0.4</t>
        </is>
      </c>
      <c r="J53" s="81" t="inlineStr">
        <is>
          <t>SqlWorkflow.enable_gh_ost + lazy auto-enable + cancel 清理</t>
        </is>
      </c>
      <c r="K53" s="67" t="inlineStr">
        <is>
          <t>【场景】修真 bug：提交勾 gh-ost 后审批前能点启用按钮；【使用】submit 端点只存标记 wf.enable_gh_ost=True；审批通过时 detail 视图 lazy auto-enable 调 _enable_ghost_for_workflow；拒绝/撤回走 /cancel/ 时清理非终态 DdlGhostTask，标记保留。</t>
        </is>
      </c>
    </row>
    <row r="54" ht="48" customHeight="1">
      <c r="A54" s="57" t="inlineStr">
        <is>
          <t>gh-ost 无锁 DDL</t>
        </is>
      </c>
      <c r="B54" s="58" t="inlineStr">
        <is>
          <t>v0.3.0-beta DBA 兜底 + 大表 DDL 防呆</t>
        </is>
      </c>
      <c r="C54" s="58" t="inlineStr">
        <is>
          <t>2026-08-11</t>
        </is>
      </c>
      <c r="D54" s="78" t="inlineStr">
        <is>
          <t>100%</t>
        </is>
      </c>
      <c r="E54" s="63" t="inlineStr">
        <is>
          <t>已发布</t>
        </is>
      </c>
      <c r="F54" s="79" t="inlineStr">
        <is>
          <t>f87e875</t>
        </is>
      </c>
      <c r="G54" s="82" t="inlineStr">
        <is>
          <t>高</t>
        </is>
      </c>
      <c r="H54" s="64" t="inlineStr">
        <is>
          <t>mavis</t>
        </is>
      </c>
      <c r="I54" s="65" t="inlineStr">
        <is>
          <t>0.6</t>
        </is>
      </c>
      <c r="J54" s="81" t="inlineStr">
        <is>
          <t>can_enable_ghost 放宽 + 大表 alert 三按钮 + 5 Case 演练</t>
        </is>
      </c>
      <c r="K54" s="67" t="inlineStr">
        <is>
          <t>【场景】修真生产风险：RD 没勾 gh-ost → 3 级审批通过 → DBA 走原路径'立即执行' → 大表锁表；【使用】can_enable_ghost 加 has_perm('sql.sql_review') 替代 is_dba_group；阈值 10w 行 / 100MB 触发红色 alert + 三按钮（启用 gh-ost 兜底 / 立即执行 confirm / 终止工单）。5 Case 端到端演练全过。</t>
        </is>
      </c>
    </row>
    <row r="55" ht="48" customHeight="1">
      <c r="A55" s="77" t="inlineStr">
        <is>
          <t>钉钉 OA 集成</t>
        </is>
      </c>
      <c r="B55" s="58" t="inlineStr">
        <is>
          <t>v0.2.0 钉钉 OA 3 级审批配置生效修复</t>
        </is>
      </c>
      <c r="C55" s="58" t="inlineStr">
        <is>
          <t>2026-08-11</t>
        </is>
      </c>
      <c r="D55" s="78" t="inlineStr">
        <is>
          <t>100%</t>
        </is>
      </c>
      <c r="E55" s="63" t="inlineStr">
        <is>
          <t>已发布</t>
        </is>
      </c>
      <c r="F55" s="79" t="inlineStr">
        <is>
          <t>d5f88d1</t>
        </is>
      </c>
      <c r="G55" s="61" t="inlineStr">
        <is>
          <t>中</t>
        </is>
      </c>
      <c r="H55" s="64" t="inlineStr">
        <is>
          <t>mavis</t>
        </is>
      </c>
      <c r="I55" s="65" t="inlineStr">
        <is>
          <t>0.3</t>
        </is>
      </c>
      <c r="J55" s="81" t="inlineStr">
        <is>
          <t>ext_approval_flow + fix_approval_flow_3level 命令</t>
        </is>
      </c>
      <c r="K55" s="67" t="inlineStr">
        <is>
          <t>【场景】修真 bug：wf#57 走单级 DBA 审批但用户配置 3 级；【使用】134 dev UPDATE ext_approval_flow audit_auth_groups='14,15,3'；新增 fix_approval_flow_3level management command (idempotent, 110 prod 推时跑)；init_fallback_flow 占位 1,2 → 14,15,3。</t>
        </is>
      </c>
    </row>
    <row r="56" ht="48" customHeight="1">
      <c r="A56" s="83" t="inlineStr">
        <is>
          <t>平台基础</t>
        </is>
      </c>
      <c r="B56" s="58" t="inlineStr">
        <is>
          <t>'bug 必记'原则固化 (AGENTS.md + troubleshooting.md 8KB 速查表)</t>
        </is>
      </c>
      <c r="C56" s="58" t="inlineStr">
        <is>
          <t>2026-08-11</t>
        </is>
      </c>
      <c r="D56" s="78" t="inlineStr">
        <is>
          <t>100%</t>
        </is>
      </c>
      <c r="E56" s="63" t="inlineStr">
        <is>
          <t>已发布</t>
        </is>
      </c>
      <c r="F56" s="79" t="inlineStr">
        <is>
          <t>ba32ba5</t>
        </is>
      </c>
      <c r="G56" s="63" t="inlineStr">
        <is>
          <t>低</t>
        </is>
      </c>
      <c r="H56" s="64" t="inlineStr">
        <is>
          <t>mavis</t>
        </is>
      </c>
      <c r="I56" s="65" t="inlineStr">
        <is>
          <t>0.2</t>
        </is>
      </c>
      <c r="J56" s="81" t="inlineStr">
        <is>
          <t>4 层文档分工 + 按现象速查 8 类 + 14 个 changelog 索引</t>
        </is>
      </c>
      <c r="K56" s="67" t="inlineStr">
        <is>
          <t>【场景】用户提的工程纪律：修 bug 必须先写 changelog 再写代码，踩坑写进 memory；【使用】AGENTS.md 二次开发硬规则第 7 条固化 + docs/troubleshooting.md 8KB 速查表（gh-ost / 审批 / 老工单兼容 / 凭据加密 / 134 dev 部署 / Django 视图 / 演练脚本 / Windows 工具链 8 类），遇到问题先看它。</t>
        </is>
      </c>
    </row>
    <row r="57" ht="48" customHeight="1">
      <c r="A57" s="83" t="inlineStr">
        <is>
          <t>平台基础</t>
        </is>
      </c>
      <c r="B57" s="58" t="inlineStr">
        <is>
          <t>HTML 项目进度汇报稿 (2026-08-11 6 大块 Report 模式)</t>
        </is>
      </c>
      <c r="C57" s="58" t="inlineStr">
        <is>
          <t>2026-08-11</t>
        </is>
      </c>
      <c r="D57" s="78" t="inlineStr">
        <is>
          <t>100%</t>
        </is>
      </c>
      <c r="E57" s="63" t="inlineStr">
        <is>
          <t>已发布</t>
        </is>
      </c>
      <c r="F57" s="79" t="inlineStr">
        <is>
          <t>07dedd1</t>
        </is>
      </c>
      <c r="G57" s="63" t="inlineStr">
        <is>
          <t>低</t>
        </is>
      </c>
      <c r="H57" s="64" t="inlineStr">
        <is>
          <t>mavis</t>
        </is>
      </c>
      <c r="I57" s="65" t="inlineStr">
        <is>
          <t>0.2</t>
        </is>
      </c>
      <c r="J57" s="81" t="inlineStr">
        <is>
          <t>docs/reports/2026-08-11_project-progress-report.html 20KB</t>
        </is>
      </c>
      <c r="K57" s="67" t="inlineStr">
        <is>
          <t>【场景】领导要 8/11 汇报项目进度；【使用】HTML Report 模式（cream 背景 + DM Serif + Outfit），6 大块：当前状态 / 关键数据 / 关键里程碑 / 本周亮点 / 风险 + 应对 / 下周计划。</t>
        </is>
      </c>
    </row>
    <row r="58" ht="48" customHeight="1">
      <c r="A58" s="84" t="inlineStr">
        <is>
          <t>提测阶段</t>
        </is>
      </c>
      <c r="B58" s="58" t="inlineStr">
        <is>
          <t>134 dev common/static 目录缺失修复</t>
        </is>
      </c>
      <c r="C58" s="58" t="inlineStr">
        <is>
          <t>2026-08-11</t>
        </is>
      </c>
      <c r="D58" s="78" t="inlineStr">
        <is>
          <t>100%</t>
        </is>
      </c>
      <c r="E58" s="63" t="inlineStr">
        <is>
          <t>已发布</t>
        </is>
      </c>
      <c r="F58" s="79" t="inlineStr">
        <is>
          <t>be4d6fb</t>
        </is>
      </c>
      <c r="G58" s="82" t="inlineStr">
        <is>
          <t>高</t>
        </is>
      </c>
      <c r="H58" s="64" t="inlineStr">
        <is>
          <t>mavis</t>
        </is>
      </c>
      <c r="I58" s="65" t="inlineStr">
        <is>
          <t>0.2</t>
        </is>
      </c>
      <c r="J58" s="81" t="inlineStr">
        <is>
          <t>tarball sync 漏 common/static/ 整个目录</t>
        </is>
      </c>
      <c r="K58" s="67" t="inlineStr">
        <is>
          <t>【症状】134 dev 页面裸 HTML 无 CSS/JS；【根因】tarball 打包漏 common/static/（gunicorn 一直 active 但页面静态资源 404）；【修法】cp -r upstream common/static/ + collectstatic --noinput + chown archery:archery + restart gunicorn。</t>
        </is>
      </c>
    </row>
    <row r="59" ht="48" customHeight="1">
      <c r="A59" s="84" t="inlineStr">
        <is>
          <t>提测阶段</t>
        </is>
      </c>
      <c r="B59" s="58" t="inlineStr">
        <is>
          <t>detail_content 老工单 SqlWorkflowContent 缺失兼容</t>
        </is>
      </c>
      <c r="C59" s="58" t="inlineStr">
        <is>
          <t>2026-08-11</t>
        </is>
      </c>
      <c r="D59" s="78" t="inlineStr">
        <is>
          <t>100%</t>
        </is>
      </c>
      <c r="E59" s="63" t="inlineStr">
        <is>
          <t>已发布</t>
        </is>
      </c>
      <c r="F59" s="79" t="inlineStr">
        <is>
          <t>e78f758</t>
        </is>
      </c>
      <c r="G59" s="61" t="inlineStr">
        <is>
          <t>中</t>
        </is>
      </c>
      <c r="H59" s="64" t="inlineStr">
        <is>
          <t>mavis</t>
        </is>
      </c>
      <c r="I59" s="65" t="inlineStr">
        <is>
          <t>0.3</t>
        </is>
      </c>
      <c r="J59" s="81" t="inlineStr">
        <is>
          <t>sql_workflow.py + policy.py + notify.py 加 getattr 兜底</t>
        </is>
      </c>
      <c r="K59" s="67" t="inlineStr">
        <is>
          <t>【症状】老工单无 sqlworkflowcontent 行 → AttributeError 500；【根因】detail_content 直接 .sqlworkflowcontent.xxx；【修法】3 个文件加 getattr + SqlWorkflowContent.DoesNotExist 兜底，老工单显示空 rows + _empty_content=True 不阻塞页面。</t>
        </is>
      </c>
    </row>
    <row r="60" ht="48" customHeight="1">
      <c r="A60" s="84" t="inlineStr">
        <is>
          <t>提测阶段</t>
        </is>
      </c>
      <c r="B60" s="58" t="inlineStr">
        <is>
          <t>workflow_audit None/DoesNotExist 兜底</t>
        </is>
      </c>
      <c r="C60" s="58" t="inlineStr">
        <is>
          <t>2026-08-11</t>
        </is>
      </c>
      <c r="D60" s="78" t="inlineStr">
        <is>
          <t>100%</t>
        </is>
      </c>
      <c r="E60" s="63" t="inlineStr">
        <is>
          <t>已发布</t>
        </is>
      </c>
      <c r="F60" s="79" t="inlineStr">
        <is>
          <t>b8c0e6d</t>
        </is>
      </c>
      <c r="G60" s="61" t="inlineStr">
        <is>
          <t>中</t>
        </is>
      </c>
      <c r="H60" s="64" t="inlineStr">
        <is>
          <t>mavis</t>
        </is>
      </c>
      <c r="I60" s="65" t="inlineStr">
        <is>
          <t>0.2</t>
        </is>
      </c>
      <c r="J60" s="81" t="inlineStr">
        <is>
          <t>get_review_info + Audit.can_review 兜底</t>
        </is>
      </c>
      <c r="K60" s="67" t="inlineStr">
        <is>
          <t>【症状】用户报 500 在 audit_handler.get_review_info / Audit.can_review；【根因】老工单无对应 audit 行；【修法】get_review_info 加 if self.audit is None: return ReviewInfo()；can_review 加 try/except WorkflowAudit.DoesNotExist: return False。</t>
        </is>
      </c>
    </row>
    <row r="61" ht="48" customHeight="1">
      <c r="A61" s="84" t="inlineStr">
        <is>
          <t>提测阶段</t>
        </is>
      </c>
      <c r="B61" s="58" t="inlineStr">
        <is>
          <t>detail.html data-toggle for...of undefined 报错</t>
        </is>
      </c>
      <c r="C61" s="58" t="inlineStr">
        <is>
          <t>2026-08-11</t>
        </is>
      </c>
      <c r="D61" s="78" t="inlineStr">
        <is>
          <t>100%</t>
        </is>
      </c>
      <c r="E61" s="63" t="inlineStr">
        <is>
          <t>已发布</t>
        </is>
      </c>
      <c r="F61" s="79" t="inlineStr">
        <is>
          <t>d44632f→2129221</t>
        </is>
      </c>
      <c r="G61" s="61" t="inlineStr">
        <is>
          <t>中</t>
        </is>
      </c>
      <c r="H61" s="64" t="inlineStr">
        <is>
          <t>mavis</t>
        </is>
      </c>
      <c r="I61" s="65" t="inlineStr">
        <is>
          <t>0.2</t>
        </is>
      </c>
      <c r="J61" s="81" t="inlineStr">
        <is>
          <t>去掉 4 处 data-toggle='table'</t>
        </is>
      </c>
      <c r="K61" s="67" t="inlineStr">
        <is>
          <t>【症状】详情页 console 报 for...of undefined 错；【根因】Bootstrap-table data-toggle 在空数组上调用 for...of 抛错；【修法】去掉 4 处 data-toggle='table'（静态表 / tb-detail / tb-logs / osc_percent_list），改成普通 table + 静态渲染。</t>
        </is>
      </c>
    </row>
    <row r="62" ht="48" customHeight="1">
      <c r="A62" s="84" t="inlineStr">
        <is>
          <t>提测阶段</t>
        </is>
      </c>
      <c r="B62" s="58" t="inlineStr">
        <is>
          <t>detail_content rows 兼容 list (非 dict 类型)</t>
        </is>
      </c>
      <c r="C62" s="58" t="inlineStr">
        <is>
          <t>2026-08-11</t>
        </is>
      </c>
      <c r="D62" s="78" t="inlineStr">
        <is>
          <t>100%</t>
        </is>
      </c>
      <c r="E62" s="63" t="inlineStr">
        <is>
          <t>已发布</t>
        </is>
      </c>
      <c r="F62" s="79" t="inlineStr">
        <is>
          <t>853cb71</t>
        </is>
      </c>
      <c r="G62" s="63" t="inlineStr">
        <is>
          <t>低</t>
        </is>
      </c>
      <c r="H62" s="64" t="inlineStr">
        <is>
          <t>mavis</t>
        </is>
      </c>
      <c r="I62" s="65" t="inlineStr">
        <is>
          <t>0.2</t>
        </is>
      </c>
      <c r="J62" s="81" t="inlineStr">
        <is>
          <t>json.loads 兜底 + isinstance 判 list</t>
        </is>
      </c>
      <c r="K62" s="67" t="inlineStr">
        <is>
          <t>【症状】review_content='{}' 时 rows 不是 list，drill 断言失败；【根因】老工单 review_content 是空 dict 不是 list；【修法】detail_content 解析 rows 时 if not isinstance(parsed, list): parsed = []，保证后续处理都是 list。</t>
        </is>
      </c>
    </row>
    <row r="63" ht="48" customHeight="1">
      <c r="A63" s="84" t="inlineStr">
        <is>
          <t>提测阶段</t>
        </is>
      </c>
      <c r="B63" s="58" t="inlineStr">
        <is>
          <t>sql_config inception_remote_backup_* 4 字段 K2 重加密</t>
        </is>
      </c>
      <c r="C63" s="58" t="inlineStr">
        <is>
          <t>2026-08-11</t>
        </is>
      </c>
      <c r="D63" s="78" t="inlineStr">
        <is>
          <t>100%</t>
        </is>
      </c>
      <c r="E63" s="63" t="inlineStr">
        <is>
          <t>已发布</t>
        </is>
      </c>
      <c r="F63" s="79" t="inlineStr">
        <is>
          <t>b429f28</t>
        </is>
      </c>
      <c r="G63" s="82" t="inlineStr">
        <is>
          <t>高</t>
        </is>
      </c>
      <c r="H63" s="64" t="inlineStr">
        <is>
          <t>mavis</t>
        </is>
      </c>
      <c r="I63" s="65" t="inlineStr">
        <is>
          <t>0.2</t>
        </is>
      </c>
      <c r="J63" s="81" t="inlineStr">
        <is>
          <t>Mirage K1≠K2 密文解不开, 4 字段改明文</t>
        </is>
      </c>
      <c r="K63" s="67" t="inlineStr">
        <is>
          <t>【症状】134 dev 凭据解不开 → gh-ost precheck 失败 / inception 备份失败；【根因】sql_config 表 4 个 inception_remote_backup_* 字段历史 mirage K1 密文，K2 密钥不匹配；【修法】admin 后台改明文（host=127.0.0.1 / port=3306 / user=dbops / password=...），让 K2 重新加密。instance id=1 / id=2 user/password 同处理。</t>
        </is>
      </c>
    </row>
    <row r="64" ht="48" customHeight="1">
      <c r="A64" s="84" t="inlineStr">
        <is>
          <t>提测阶段</t>
        </is>
      </c>
      <c r="B64" s="58" t="inlineStr">
        <is>
          <t>134 dev /var/log/archery/gh_ost/ 目录 chown 修复</t>
        </is>
      </c>
      <c r="C64" s="58" t="inlineStr">
        <is>
          <t>2026-08-11</t>
        </is>
      </c>
      <c r="D64" s="78" t="inlineStr">
        <is>
          <t>100%</t>
        </is>
      </c>
      <c r="E64" s="63" t="inlineStr">
        <is>
          <t>已发布</t>
        </is>
      </c>
      <c r="F64" s="79" t="inlineStr">
        <is>
          <t>042dee3</t>
        </is>
      </c>
      <c r="G64" s="61" t="inlineStr">
        <is>
          <t>中</t>
        </is>
      </c>
      <c r="H64" s="64" t="inlineStr">
        <is>
          <t>mavis</t>
        </is>
      </c>
      <c r="I64" s="65" t="inlineStr">
        <is>
          <t>0.2</t>
        </is>
      </c>
      <c r="J64" s="81" t="inlineStr">
        <is>
          <t>root 创建目录 + /tmp/gh-ost.*.sock 残留</t>
        </is>
      </c>
      <c r="K64" s="67" t="inlineStr">
        <is>
          <t>【症状】134 dev gh-ost 进程写日志失败 / cut-over 后 zombie socket 残留端口冲突；【根因】历史 v0.3.0-beta 演练时 root 跑 gh-ost 创建了 root:root 目录 + sock 文件；【修法】deploy_v030b.sh 加 chown -R archery:archery /var/log/archery/gh_ost + rm -f /tmp/gh-ost.*.sock + drop 影子表。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ColWidth="9" defaultRowHeight="13.5"/>
  <cols>
    <col width="22" customWidth="1" min="1" max="1"/>
    <col width="16" customWidth="1" min="2" max="6"/>
  </cols>
  <sheetData>
    <row r="1" ht="28" customHeight="1">
      <c r="A1" s="1" t="inlineStr">
        <is>
          <t>Archery 二次开发 · 汇总统计</t>
        </is>
      </c>
    </row>
    <row r="2"/>
    <row r="3" ht="22" customHeight="1">
      <c r="A3" s="12" t="inlineStr">
        <is>
          <t>按主功能统计</t>
        </is>
      </c>
    </row>
    <row r="4" ht="24" customHeight="1">
      <c r="A4" s="2" t="inlineStr">
        <is>
          <t>主功能</t>
        </is>
      </c>
      <c r="B4" s="2" t="inlineStr">
        <is>
          <t>子项目数</t>
        </is>
      </c>
      <c r="C4" s="2" t="inlineStr">
        <is>
          <t>已完成</t>
        </is>
      </c>
      <c r="D4" s="2" t="inlineStr">
        <is>
          <t>完成率</t>
        </is>
      </c>
      <c r="E4" s="2" t="inlineStr">
        <is>
          <t>高风险数</t>
        </is>
      </c>
      <c r="F4" s="2" t="inlineStr">
        <is>
          <t>投入人天</t>
        </is>
      </c>
    </row>
    <row r="5">
      <c r="A5" s="13" t="inlineStr">
        <is>
          <t>平台基础</t>
        </is>
      </c>
      <c r="B5" s="4">
        <f>COUNTIF(功能开发计划!A:A,A5)</f>
        <v/>
      </c>
      <c r="C5" s="4">
        <f>COUNTIFS(功能开发计划!A:A,A5,功能开发计划!E:E,"已发布")</f>
        <v/>
      </c>
      <c r="D5" s="72">
        <f>IFERROR(C5/B5,0)</f>
        <v/>
      </c>
      <c r="E5" s="4">
        <f>COUNTIFS(功能开发计划!A:A,A5,功能开发计划!G:G,"高")</f>
        <v/>
      </c>
      <c r="F5" s="73">
        <f>SUMPRODUCT((功能开发计划!A2:A100=A5)*ISNUMBER(功能开发计划!I2:I100)*功能开发计划!I2:I100)</f>
        <v/>
      </c>
    </row>
    <row r="6">
      <c r="A6" s="15" t="inlineStr">
        <is>
          <t>钉钉 OA 集成</t>
        </is>
      </c>
      <c r="B6" s="4">
        <f>COUNTIF(功能开发计划!A:A,A6)</f>
        <v/>
      </c>
      <c r="C6" s="4">
        <f>COUNTIFS(功能开发计划!A:A,A6,功能开发计划!E:E,"已发布")</f>
        <v/>
      </c>
      <c r="D6" s="72">
        <f>IFERROR(C6/B6,0)</f>
        <v/>
      </c>
      <c r="E6" s="4">
        <f>COUNTIFS(功能开发计划!A:A,A6,功能开发计划!G:G,"高")</f>
        <v/>
      </c>
      <c r="F6" s="73">
        <f>SUMPRODUCT((功能开发计划!A2:A100=A6)*ISNUMBER(功能开发计划!I2:I100)*功能开发计划!I2:I100)</f>
        <v/>
      </c>
    </row>
    <row r="7">
      <c r="A7" s="16" t="inlineStr">
        <is>
          <t>gh-ost 无锁 DDL</t>
        </is>
      </c>
      <c r="B7" s="4">
        <f>COUNTIF(功能开发计划!A:A,A7)</f>
        <v/>
      </c>
      <c r="C7" s="4">
        <f>COUNTIFS(功能开发计划!A:A,A7,功能开发计划!E:E,"已发布")</f>
        <v/>
      </c>
      <c r="D7" s="72">
        <f>IFERROR(C7/B7,0)</f>
        <v/>
      </c>
      <c r="E7" s="4">
        <f>COUNTIFS(功能开发计划!A:A,A7,功能开发计划!G:G,"高")</f>
        <v/>
      </c>
      <c r="F7" s="73">
        <f>SUMPRODUCT((功能开发计划!A2:A100=A7)*ISNUMBER(功能开发计划!I2:I100)*功能开发计划!I2:I100)</f>
        <v/>
      </c>
    </row>
    <row r="8">
      <c r="A8" s="17" t="inlineStr">
        <is>
          <t>收尾</t>
        </is>
      </c>
      <c r="B8" s="4">
        <f>COUNTIF(功能开发计划!A:A,A8)</f>
        <v/>
      </c>
      <c r="C8" s="4">
        <f>COUNTIFS(功能开发计划!A:A,A8,功能开发计划!E:E,"已发布")</f>
        <v/>
      </c>
      <c r="D8" s="72">
        <f>IFERROR(C8/B8,0)</f>
        <v/>
      </c>
      <c r="E8" s="4">
        <f>COUNTIFS(功能开发计划!A:A,A8,功能开发计划!G:G,"高")</f>
        <v/>
      </c>
      <c r="F8" s="73">
        <f>SUMPRODUCT((功能开发计划!A2:A100=A8)*ISNUMBER(功能开发计划!I2:I100)*功能开发计划!I2:I100)</f>
        <v/>
      </c>
    </row>
    <row r="9" ht="15" customHeight="1">
      <c r="A9" s="18" t="inlineStr">
        <is>
          <t>合计</t>
        </is>
      </c>
      <c r="B9" s="19">
        <f>SUM(B5:B8)</f>
        <v/>
      </c>
      <c r="C9" s="19">
        <f>SUM(C5:C8)</f>
        <v/>
      </c>
      <c r="D9" s="74">
        <f>IFERROR(C9/B9,0)</f>
        <v/>
      </c>
      <c r="E9" s="19">
        <f>SUM(E5:E8)</f>
        <v/>
      </c>
      <c r="F9" s="75">
        <f>SUM(F5:F8)</f>
        <v/>
      </c>
    </row>
    <row r="10"/>
    <row r="11" ht="32" customHeight="1">
      <c r="A11" s="18" t="inlineStr">
        <is>
          <t>整体完成率</t>
        </is>
      </c>
      <c r="B11" s="22">
        <f>TEXT(C9,"0")&amp;"/"&amp;TEXT(B9,"0")&amp;" ("&amp;TEXT(D9*100,"0.0")&amp;"%)"</f>
        <v/>
      </c>
    </row>
    <row r="12" ht="32" customHeight="1">
      <c r="A12" s="18" t="inlineStr">
        <is>
          <t>总投入人天（已交付）</t>
        </is>
      </c>
      <c r="B12" s="76">
        <f>SUMPRODUCT((功能开发计划!E2:E100="已发布")*ISNUMBER(功能开发计划!I2:I100)*功能开发计划!I2:I100)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ColWidth="9" defaultRowHeight="13.5" outlineLevelRow="5"/>
  <cols>
    <col width="16" customWidth="1" min="1" max="2"/>
    <col width="60" customWidth="1" min="3" max="3"/>
  </cols>
  <sheetData>
    <row r="1" ht="28" customHeight="1">
      <c r="A1" s="1" t="inlineStr">
        <is>
          <t>按风险等级</t>
        </is>
      </c>
    </row>
    <row r="2"/>
    <row r="3" ht="24" customHeight="1">
      <c r="A3" s="2" t="inlineStr">
        <is>
          <t>风险等级</t>
        </is>
      </c>
      <c r="B3" s="2" t="inlineStr">
        <is>
          <t>数量（公式）</t>
        </is>
      </c>
      <c r="C3" s="2" t="inlineStr">
        <is>
          <t>涉及子项目</t>
        </is>
      </c>
    </row>
    <row r="4" ht="60" customHeight="1">
      <c r="A4" s="7" t="inlineStr">
        <is>
          <t>高</t>
        </is>
      </c>
      <c r="B4" s="8">
        <f>COUNTIF(功能开发计划!G:G,"高")</f>
        <v/>
      </c>
      <c r="C4" s="9">
        <f>_xlfn.TEXTJOIN("；",TRUE,IF(功能开发计划!G2:G100="高",功能开发计划!B2:B100,""))</f>
        <v/>
      </c>
    </row>
    <row r="5" ht="60" customHeight="1">
      <c r="A5" s="10" t="inlineStr">
        <is>
          <t>中</t>
        </is>
      </c>
      <c r="B5" s="8">
        <f>COUNTIF(功能开发计划!G:G,"中")</f>
        <v/>
      </c>
      <c r="C5" s="9">
        <f>_xlfn.TEXTJOIN("；",TRUE,IF(功能开发计划!G2:G100="中",功能开发计划!B2:B100,""))</f>
        <v/>
      </c>
    </row>
    <row r="6" ht="60" customHeight="1">
      <c r="A6" s="11" t="inlineStr">
        <is>
          <t>低</t>
        </is>
      </c>
      <c r="B6" s="8">
        <f>COUNTIF(功能开发计划!G:G,"低")</f>
        <v/>
      </c>
      <c r="C6" s="9">
        <f>_xlfn.TEXTJOIN("；",TRUE,IF(功能开发计划!G2:G100="低",功能开发计划!B2:B100,""))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3.5" outlineLevelRow="4"/>
  <cols>
    <col width="18" customWidth="1" min="1" max="1"/>
    <col width="16" customWidth="1" min="2" max="3"/>
    <col width="18" customWidth="1" min="4" max="4"/>
  </cols>
  <sheetData>
    <row r="1" ht="28" customHeight="1">
      <c r="A1" s="1" t="inlineStr">
        <is>
          <t>按负责人</t>
        </is>
      </c>
    </row>
    <row r="2"/>
    <row r="3" ht="24" customHeight="1">
      <c r="A3" s="2" t="inlineStr">
        <is>
          <t>负责人</t>
        </is>
      </c>
      <c r="B3" s="2" t="inlineStr">
        <is>
          <t>已交付</t>
        </is>
      </c>
      <c r="C3" s="2" t="inlineStr">
        <is>
          <t>待办</t>
        </is>
      </c>
      <c r="D3" s="2" t="inlineStr">
        <is>
          <t>总投入人天（已交付）</t>
        </is>
      </c>
    </row>
    <row r="4">
      <c r="A4" s="3" t="inlineStr">
        <is>
          <t>mavis</t>
        </is>
      </c>
      <c r="B4" s="4">
        <f>COUNTIFS(功能开发计划!H:H,"mavis",功能开发计划!E:E,"已发布")</f>
        <v/>
      </c>
      <c r="C4" s="4">
        <f>COUNTIFS(功能开发计划!H:H,"mavis",功能开发计划!E:E,"待办")</f>
        <v/>
      </c>
      <c r="D4" s="73">
        <f>SUMPRODUCT((功能开发计划!H2:H100="mavis")*(功能开发计划!E2:E100="已发布")*ISNUMBER(功能开发计划!I2:I100)*功能开发计划!I2:I100)</f>
        <v/>
      </c>
    </row>
    <row r="5">
      <c r="A5" s="6" t="inlineStr">
        <is>
          <t>阿达叔叔</t>
        </is>
      </c>
      <c r="B5" s="4">
        <f>COUNTIFS(功能开发计划!H:H,"阿达叔叔",功能开发计划!E:E,"已发布")</f>
        <v/>
      </c>
      <c r="C5" s="4">
        <f>COUNTIFS(功能开发计划!H:H,"阿达叔叔",功能开发计划!E:E,"待办")</f>
        <v/>
      </c>
      <c r="D5" s="73">
        <f>SUMPRODUCT((功能开发计划!H2:H100="阿达叔叔")*(功能开发计划!E2:E100="已发布")*ISNUMBER(功能开发计划!I2:I100)*功能开发计划!I2:I100)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2026-08-06T05:48:00Z</dcterms:created>
  <dcterms:modified xmlns:dcterms="http://purl.org/dc/terms/" xmlns:xsi="http://www.w3.org/2001/XMLSchema-instance" xsi:type="dcterms:W3CDTF">2026-08-11T08:20:09Z</dcterms:modified>
  <cp:lastModifiedBy>WPS_1688951523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376339E3A985460B8ED8C282440D7EF4_12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